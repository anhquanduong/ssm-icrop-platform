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1a4d756fe2ebfa34/8.ProjectLinhTinh/1. icrop/Sample Model/SSM-Maize/"/>
    </mc:Choice>
  </mc:AlternateContent>
  <xr:revisionPtr revIDLastSave="0" documentId="8_{22E98809-AAFC-422E-BE9E-E75712F9B0D3}" xr6:coauthVersionLast="47" xr6:coauthVersionMax="47" xr10:uidLastSave="{00000000-0000-0000-0000-000000000000}"/>
  <bookViews>
    <workbookView xWindow="3150" yWindow="3660" windowWidth="28800" windowHeight="15390" xr2:uid="{38F239FE-48D3-4C18-8876-431B08D7B753}"/>
  </bookViews>
  <sheets>
    <sheet name="Run" sheetId="1" r:id="rId1"/>
    <sheet name="DailyO" sheetId="4" r:id="rId2"/>
    <sheet name="Figures" sheetId="6" r:id="rId3"/>
    <sheet name="YearlyO" sheetId="11" r:id="rId4"/>
    <sheet name="Location" sheetId="2" r:id="rId5"/>
    <sheet name="Manag" sheetId="12" r:id="rId6"/>
    <sheet name="Soil" sheetId="8" r:id="rId7"/>
    <sheet name="Crop" sheetId="5" r:id="rId8"/>
    <sheet name="DOY" sheetId="10" r:id="rId9"/>
    <sheet name="Help" sheetId="3" r:id="rId10"/>
  </sheets>
  <definedNames>
    <definedName name="Diameter">Run!#REF!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2" l="1"/>
  <c r="K20" i="12"/>
  <c r="I167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afshin</author>
  </authors>
  <commentList>
    <comment ref="A7" authorId="0" shapeId="0" xr:uid="{62309E7D-D471-4AF7-9794-7FA5D1AA09FC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This should be Row # 7.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afshin</author>
  </authors>
  <commentList>
    <comment ref="E6" authorId="0" shapeId="0" xr:uid="{C4521418-B3CA-4768-AC80-EB91AA568048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As additive</t>
        </r>
      </text>
    </comment>
    <comment ref="F6" authorId="0" shapeId="0" xr:uid="{E028795B-3BAB-44A0-8579-6AE00986EF2A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As multiplier</t>
        </r>
      </text>
    </comment>
    <comment ref="E10" authorId="0" shapeId="0" xr:uid="{BCC25F65-51CD-4411-9FC6-DB0976961AFE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As additive</t>
        </r>
      </text>
    </comment>
    <comment ref="F10" authorId="0" shapeId="0" xr:uid="{7EEA82ED-7D3C-4DC9-9D34-8774101BB238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As multiplier</t>
        </r>
      </text>
    </comment>
    <comment ref="E14" authorId="0" shapeId="0" xr:uid="{3EC7BFBF-99C2-4306-9C8A-AC384566FB4E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As additive</t>
        </r>
      </text>
    </comment>
    <comment ref="F14" authorId="0" shapeId="0" xr:uid="{99417828-26EB-4701-9C71-3F6A2BC6400F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As multiplier</t>
        </r>
      </text>
    </comment>
    <comment ref="E18" authorId="0" shapeId="0" xr:uid="{49104646-1966-42CE-AE10-E301A6C17CE3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As additive</t>
        </r>
      </text>
    </comment>
    <comment ref="F18" authorId="0" shapeId="0" xr:uid="{2C1054A6-9A70-4C54-80EB-DDE4BE6657F7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As multiplier</t>
        </r>
      </text>
    </comment>
    <comment ref="E22" authorId="0" shapeId="0" xr:uid="{1DB347C2-86A0-44CE-AFDE-1ECEFB0D760D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As additive</t>
        </r>
      </text>
    </comment>
    <comment ref="F22" authorId="0" shapeId="0" xr:uid="{D4CF082F-7C7D-46E7-B4AB-A63D7197692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As multiplier</t>
        </r>
      </text>
    </comment>
    <comment ref="E26" authorId="0" shapeId="0" xr:uid="{1A49A399-1FE0-4F49-8D1A-14F977A8F682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As additive</t>
        </r>
      </text>
    </comment>
    <comment ref="F26" authorId="0" shapeId="0" xr:uid="{626AAB0A-96A7-4855-8BD4-A8D263E8B50D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As multiplier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afshin</author>
  </authors>
  <commentList>
    <comment ref="A19" authorId="0" shapeId="0" xr:uid="{355A08EA-6A29-443A-B636-59FD0514CC3B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19" authorId="0" shapeId="0" xr:uid="{98508416-695A-441A-8DBC-5FB6373F5EFB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 0=potential production, 1=automated irrigated, 2=rainfed, 3=fixed irrigated</t>
        </r>
      </text>
    </comment>
    <comment ref="A21" authorId="0" shapeId="0" xr:uid="{14575EB4-9BF5-460A-9754-FB00E5F05DB9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</t>
        </r>
      </text>
    </comment>
    <comment ref="E21" authorId="0" shapeId="0" xr:uid="{7B6D5C0E-81CA-452A-809B-A45AB575436A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 with user-specified irrigation, 3= DOY, 4= CBD with auto-irrigation</t>
        </r>
      </text>
    </comment>
    <comment ref="A42" authorId="0" shapeId="0" xr:uid="{008E1DA9-2B88-4587-978B-919C3FEDFDF6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42" authorId="0" shapeId="0" xr:uid="{AF933B06-5E13-4D6C-B297-7DA473208D82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 0=potential production, 1=automated irrigated, 2=rainfed, 3=fixed irrigated</t>
        </r>
      </text>
    </comment>
    <comment ref="A44" authorId="0" shapeId="0" xr:uid="{D178E9F2-87D7-4AE3-A3E8-A5E8B65EA8B8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</t>
        </r>
      </text>
    </comment>
    <comment ref="E44" authorId="0" shapeId="0" xr:uid="{B38CD5ED-1AD1-4DA5-A973-763DC7A75F85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 with user-specified irrigation, 3= DOY, 4= CBD with auto-irrigation</t>
        </r>
      </text>
    </comment>
    <comment ref="A65" authorId="0" shapeId="0" xr:uid="{00555B63-2ED9-4550-99F3-E9735F4B0B21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65" authorId="0" shapeId="0" xr:uid="{86B9EBFE-2DAA-482F-B38B-BAC2F3025734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 0=potential production, 1=automated irrigated, 2=rainfed, 3=fixed irrigated</t>
        </r>
      </text>
    </comment>
    <comment ref="A67" authorId="0" shapeId="0" xr:uid="{7AEB296A-145F-451A-B8E2-9356F7089742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</t>
        </r>
      </text>
    </comment>
    <comment ref="E67" authorId="0" shapeId="0" xr:uid="{9C6FE9C4-E1BE-4D40-9408-852A57830E32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 with user-specified irrigation, 3= DOY, 4= CBD with auto-irrigation</t>
        </r>
      </text>
    </comment>
    <comment ref="A88" authorId="0" shapeId="0" xr:uid="{6645CB35-70D0-44B8-9B4C-CAD9BBCF80F9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88" authorId="0" shapeId="0" xr:uid="{E8AA338F-7EA2-44C1-B834-8A370C3BC0CD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 0=potential production, 1=automated irrigated, 2=rainfed, 3=fixed irrigated</t>
        </r>
      </text>
    </comment>
    <comment ref="A90" authorId="0" shapeId="0" xr:uid="{345CB57F-0B50-4BDB-8B9E-5990FD831245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</t>
        </r>
      </text>
    </comment>
    <comment ref="E90" authorId="0" shapeId="0" xr:uid="{DE4C9746-5C8E-475F-BC91-0016E3C901BB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 with user-specified irrigation, 3= DOY, 4= CBD with auto-irrigation</t>
        </r>
      </text>
    </comment>
    <comment ref="A111" authorId="0" shapeId="0" xr:uid="{1C18C0E8-A159-44F8-8E81-F54B003D6765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111" authorId="0" shapeId="0" xr:uid="{CED21EEF-FCBB-4991-8FE2-609B7C5CA55A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 0=potential production, 1=automated irrigated, 2=rainfed, 3=fixed irrigated</t>
        </r>
      </text>
    </comment>
    <comment ref="A113" authorId="0" shapeId="0" xr:uid="{FF82D135-D0D1-4274-BEAB-129303CF0EB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</t>
        </r>
      </text>
    </comment>
    <comment ref="E113" authorId="0" shapeId="0" xr:uid="{C6362A41-FA1A-403A-9EA8-B3FF7A493E6B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 with user-specified irrigation, 3= DOY, 4= CBD with auto-irrigation</t>
        </r>
      </text>
    </comment>
    <comment ref="A134" authorId="0" shapeId="0" xr:uid="{438C4167-1208-447B-BB73-31FB7DC9BF12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134" authorId="0" shapeId="0" xr:uid="{40BD6544-DC67-421E-991E-ADC8F3F2086D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 0=potential production, 1=automated irrigated, 2=rainfed, 3=fixed irrigated</t>
        </r>
      </text>
    </comment>
    <comment ref="A136" authorId="0" shapeId="0" xr:uid="{30B08224-5088-46AE-92BA-E0BBD5E6F9AB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</t>
        </r>
      </text>
    </comment>
    <comment ref="E136" authorId="0" shapeId="0" xr:uid="{B82D1118-1450-4898-82A8-CBEA50758FDF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 with user-specified irrigation, 3= DOY, 4= CBD with auto-irrigation</t>
        </r>
      </text>
    </comment>
    <comment ref="A157" authorId="0" shapeId="0" xr:uid="{2D4B8F4C-8F95-408A-925A-ADF138C57136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157" authorId="0" shapeId="0" xr:uid="{227CA937-8F5F-4FC1-9E6F-2145CDD1E249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 0=potential production, 1=automated irrigated, 2=rainfed, 3=fixed irrigated</t>
        </r>
      </text>
    </comment>
    <comment ref="A159" authorId="0" shapeId="0" xr:uid="{D4ECA07E-AED0-43BA-A1B7-FFC03C199B9F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</t>
        </r>
      </text>
    </comment>
    <comment ref="E159" authorId="0" shapeId="0" xr:uid="{142783BD-1F73-46C5-ADA8-56E397218279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 with user-specified irrigation, 3= DOY, 4= CBD with auto-irrigation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afshin</author>
  </authors>
  <commentList>
    <comment ref="A22" authorId="0" shapeId="0" xr:uid="{EE06FE81-2E6A-4B57-835F-3882E3F8B221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Sowing to emergence</t>
        </r>
      </text>
    </comment>
    <comment ref="A23" authorId="0" shapeId="0" xr:uid="{EA2980DE-202E-42DD-813F-1F7FF8606D65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Emergence to end of juvenile</t>
        </r>
      </text>
    </comment>
    <comment ref="A24" authorId="0" shapeId="0" xr:uid="{546C907B-A37D-4312-908C-00522A479222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Silking (last leaf ligule) to physiological maturity (black layer)</t>
        </r>
      </text>
    </comment>
    <comment ref="A33" authorId="0" shapeId="0" xr:uid="{2E505938-A1FF-49BD-8283-E07084B88214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PLAPOW at density of 8 plants per m2</t>
        </r>
      </text>
    </comment>
  </commentList>
</comments>
</file>

<file path=xl/sharedStrings.xml><?xml version="1.0" encoding="utf-8"?>
<sst xmlns="http://schemas.openxmlformats.org/spreadsheetml/2006/main" count="2039" uniqueCount="836">
  <si>
    <t>CROP:</t>
  </si>
  <si>
    <t xml:space="preserve">WSSL = </t>
  </si>
  <si>
    <t xml:space="preserve">WSSG = </t>
  </si>
  <si>
    <t xml:space="preserve">WSSD = </t>
  </si>
  <si>
    <t xml:space="preserve">TBD = </t>
  </si>
  <si>
    <t xml:space="preserve">TP1D = </t>
  </si>
  <si>
    <t xml:space="preserve">TP2D = </t>
  </si>
  <si>
    <t xml:space="preserve">TCD = </t>
  </si>
  <si>
    <t xml:space="preserve">TBRUE = </t>
  </si>
  <si>
    <t xml:space="preserve">TP1RUE = </t>
  </si>
  <si>
    <t xml:space="preserve">TP2RUE = </t>
  </si>
  <si>
    <t xml:space="preserve">TCRUE = </t>
  </si>
  <si>
    <t xml:space="preserve">KPAR = </t>
  </si>
  <si>
    <t xml:space="preserve">IRUE = </t>
  </si>
  <si>
    <t xml:space="preserve">FRTRL = </t>
  </si>
  <si>
    <t>SRAD</t>
  </si>
  <si>
    <t>TMAX</t>
  </si>
  <si>
    <t xml:space="preserve">E/ET = </t>
  </si>
  <si>
    <t>Soil albedo</t>
  </si>
  <si>
    <t>mm</t>
  </si>
  <si>
    <t>cm.cm-1</t>
  </si>
  <si>
    <t>oC</t>
  </si>
  <si>
    <t>Phenology:</t>
  </si>
  <si>
    <t xml:space="preserve">Cultivar:  </t>
  </si>
  <si>
    <t xml:space="preserve">phyl = </t>
  </si>
  <si>
    <t xml:space="preserve">PLACON = </t>
  </si>
  <si>
    <t xml:space="preserve">SLA = </t>
  </si>
  <si>
    <t>GLAI</t>
  </si>
  <si>
    <t>DLAI</t>
  </si>
  <si>
    <t>TMP</t>
  </si>
  <si>
    <t>Growth:</t>
  </si>
  <si>
    <t>Yield:</t>
  </si>
  <si>
    <t>Layer#</t>
  </si>
  <si>
    <t>DLYER</t>
  </si>
  <si>
    <t>SAT</t>
  </si>
  <si>
    <t>DUL</t>
  </si>
  <si>
    <t>DRAINF</t>
  </si>
  <si>
    <t>MAI</t>
  </si>
  <si>
    <t>Soil water:</t>
  </si>
  <si>
    <t xml:space="preserve">GRTDP = </t>
  </si>
  <si>
    <t>-</t>
  </si>
  <si>
    <t>oC / leaf</t>
  </si>
  <si>
    <t>m2 /g</t>
  </si>
  <si>
    <t>g / MJ</t>
  </si>
  <si>
    <t>g/g</t>
  </si>
  <si>
    <t>g / m2</t>
  </si>
  <si>
    <t>g / g</t>
  </si>
  <si>
    <t xml:space="preserve">SLNG = </t>
  </si>
  <si>
    <t xml:space="preserve">SLNS = </t>
  </si>
  <si>
    <t xml:space="preserve">SNCG = </t>
  </si>
  <si>
    <t>SNCS =</t>
  </si>
  <si>
    <t xml:space="preserve">GNC = </t>
  </si>
  <si>
    <t xml:space="preserve">MXNUP = </t>
  </si>
  <si>
    <t>g m-2</t>
  </si>
  <si>
    <t>g.g-1</t>
  </si>
  <si>
    <t>g.m-2</t>
  </si>
  <si>
    <t>g.m-2.d-1</t>
  </si>
  <si>
    <t xml:space="preserve">Amount </t>
  </si>
  <si>
    <t>BDL</t>
  </si>
  <si>
    <t>NORG</t>
  </si>
  <si>
    <t>FMIN</t>
  </si>
  <si>
    <t>NO3</t>
  </si>
  <si>
    <t>NH4</t>
  </si>
  <si>
    <t>(%)</t>
  </si>
  <si>
    <t>EXTR</t>
  </si>
  <si>
    <t>%</t>
  </si>
  <si>
    <t>g.cm-3</t>
  </si>
  <si>
    <t>mg.kg-1</t>
  </si>
  <si>
    <t>ppm</t>
  </si>
  <si>
    <t>FG</t>
  </si>
  <si>
    <t>Plant N:</t>
  </si>
  <si>
    <t>Soil N:</t>
  </si>
  <si>
    <t>(-)</t>
  </si>
  <si>
    <t>Days to emergence:</t>
  </si>
  <si>
    <t>Total crop mass (g.m-2):</t>
  </si>
  <si>
    <t>Grain yield (g.m-2):</t>
  </si>
  <si>
    <t>Harvest index (%):</t>
  </si>
  <si>
    <t>Irrigation number:</t>
  </si>
  <si>
    <t xml:space="preserve">Avail. soil water at sowing (mm): </t>
  </si>
  <si>
    <t>Cum. rainfall (mm):</t>
  </si>
  <si>
    <t>Cum. irrigation (mm):</t>
  </si>
  <si>
    <t>Avail. soil water at maturity (mm):</t>
  </si>
  <si>
    <t>Cum soil evaporation (mm):</t>
  </si>
  <si>
    <t>Evapotranspiration (mm):</t>
  </si>
  <si>
    <t xml:space="preserve">Number of appl. = </t>
  </si>
  <si>
    <t>Days to beg. seed growth:</t>
  </si>
  <si>
    <t>Days to termin. seed growth:</t>
  </si>
  <si>
    <t>Cum. runoff (mm):</t>
  </si>
  <si>
    <t>Cum. transpiration (mm):</t>
  </si>
  <si>
    <t>Cum. drainage (mm):</t>
  </si>
  <si>
    <t xml:space="preserve">Urea - surf. Appl. </t>
  </si>
  <si>
    <t>Humid</t>
  </si>
  <si>
    <t>Subhumid</t>
  </si>
  <si>
    <t>Dry</t>
  </si>
  <si>
    <t>Urea - Incorporated</t>
  </si>
  <si>
    <t>(NH4)2SO4 - suf. Appl.</t>
  </si>
  <si>
    <t>NH4NO3 - suf. Appl.</t>
  </si>
  <si>
    <t>NH4NO3 - incorp.</t>
  </si>
  <si>
    <t>Anhydrous NH3</t>
  </si>
  <si>
    <t>(NH4)2SO4 - incorp.</t>
  </si>
  <si>
    <t>Frac. Vol.</t>
  </si>
  <si>
    <t>Meisinger &amp; Randall, 1991</t>
  </si>
  <si>
    <t>NGRN</t>
  </si>
  <si>
    <t>Gorgan</t>
  </si>
  <si>
    <t xml:space="preserve">nitrogen = </t>
  </si>
  <si>
    <t xml:space="preserve">GCC = </t>
  </si>
  <si>
    <t xml:space="preserve">iDEPORT = </t>
  </si>
  <si>
    <t>Pa</t>
  </si>
  <si>
    <t>water = 0   for potential production</t>
  </si>
  <si>
    <t>water = 1   for irrigated water-limited conditions</t>
  </si>
  <si>
    <t>water = 2   for rainfed water-limited conditions</t>
  </si>
  <si>
    <t>nitrogen = 0   for non-N-limited conditions</t>
  </si>
  <si>
    <t>Frac. Vol:</t>
  </si>
  <si>
    <t>(g/m2)</t>
  </si>
  <si>
    <t xml:space="preserve">FLF1A = </t>
  </si>
  <si>
    <t>FLF1B =</t>
  </si>
  <si>
    <t xml:space="preserve">WTOPL = </t>
  </si>
  <si>
    <t xml:space="preserve">FLF2 = </t>
  </si>
  <si>
    <t xml:space="preserve">MEED = </t>
  </si>
  <si>
    <t xml:space="preserve">TEC = </t>
  </si>
  <si>
    <t>Variable</t>
  </si>
  <si>
    <t>Unit</t>
  </si>
  <si>
    <t>Definition</t>
  </si>
  <si>
    <t>ALBEDO</t>
  </si>
  <si>
    <t>Suface albedo</t>
  </si>
  <si>
    <t xml:space="preserve">ATSW </t>
  </si>
  <si>
    <t>Actual transpirable soil water</t>
  </si>
  <si>
    <t xml:space="preserve">ATSW1 </t>
  </si>
  <si>
    <t>Actual transpirable soil water at top layer</t>
  </si>
  <si>
    <t xml:space="preserve">BD1 </t>
  </si>
  <si>
    <t>g cm-3</t>
  </si>
  <si>
    <t xml:space="preserve">Bulk density of top layer soil </t>
  </si>
  <si>
    <t xml:space="preserve">BSGDM </t>
  </si>
  <si>
    <t>Crop above-ground dry matter at beginning seed growth</t>
  </si>
  <si>
    <t xml:space="preserve">BSGLAI </t>
  </si>
  <si>
    <t>m2 m-2</t>
  </si>
  <si>
    <t>Leaf area index at beginning seed growth</t>
  </si>
  <si>
    <t>CALB</t>
  </si>
  <si>
    <t>Crop albedo</t>
  </si>
  <si>
    <t xml:space="preserve">CE </t>
  </si>
  <si>
    <t xml:space="preserve">Cumulative soil evaporation </t>
  </si>
  <si>
    <t xml:space="preserve">CIRGW </t>
  </si>
  <si>
    <t xml:space="preserve">Cumulative irrigation water </t>
  </si>
  <si>
    <t xml:space="preserve">CLL </t>
  </si>
  <si>
    <t>mm mm-1</t>
  </si>
  <si>
    <t xml:space="preserve">Volumetric soil water content at crop lower limit </t>
  </si>
  <si>
    <t xml:space="preserve">CN </t>
  </si>
  <si>
    <t xml:space="preserve">Curve number </t>
  </si>
  <si>
    <t xml:space="preserve">CNDNIT </t>
  </si>
  <si>
    <t>g N m-2</t>
  </si>
  <si>
    <t xml:space="preserve">Accumulated nitrogen denitrification </t>
  </si>
  <si>
    <t xml:space="preserve">CNFERT </t>
  </si>
  <si>
    <t xml:space="preserve">Accumulated nitrogen fertilizer applied </t>
  </si>
  <si>
    <t xml:space="preserve">CNLEACH </t>
  </si>
  <si>
    <t xml:space="preserve">Accumulated nitrogen leached </t>
  </si>
  <si>
    <t xml:space="preserve">CNMIN </t>
  </si>
  <si>
    <t xml:space="preserve">Accumulated nitrogen mineralization </t>
  </si>
  <si>
    <t xml:space="preserve">CNUP </t>
  </si>
  <si>
    <t xml:space="preserve">Accumulated nitrogen in above-ground crop organs </t>
  </si>
  <si>
    <t xml:space="preserve">CNVOL </t>
  </si>
  <si>
    <t xml:space="preserve">Accumulated nitrogen volatilization </t>
  </si>
  <si>
    <t xml:space="preserve">CRAIN </t>
  </si>
  <si>
    <t xml:space="preserve">Cumulative rainfall </t>
  </si>
  <si>
    <t xml:space="preserve">CRUNOF </t>
  </si>
  <si>
    <t xml:space="preserve">Cumulative run-off </t>
  </si>
  <si>
    <t xml:space="preserve">CTR </t>
  </si>
  <si>
    <t xml:space="preserve">Cumulative transpiration </t>
  </si>
  <si>
    <t xml:space="preserve">DAP </t>
  </si>
  <si>
    <t xml:space="preserve">Days after planting </t>
  </si>
  <si>
    <t xml:space="preserve">DAPNF </t>
  </si>
  <si>
    <t xml:space="preserve">Days after planting when N fertilizer is applied </t>
  </si>
  <si>
    <t xml:space="preserve">DDMP </t>
  </si>
  <si>
    <t>g m-2 d-1</t>
  </si>
  <si>
    <t>Daily dry matter production</t>
  </si>
  <si>
    <t xml:space="preserve">DEP1 </t>
  </si>
  <si>
    <t xml:space="preserve">Depth of top layer in calculation of water and nitrogen dynamics in soil </t>
  </si>
  <si>
    <t xml:space="preserve">DEPORT </t>
  </si>
  <si>
    <t>Current depth of roots</t>
  </si>
  <si>
    <t>m2 m-2 d-1</t>
  </si>
  <si>
    <t>Daily decrease (death) in leaf area index</t>
  </si>
  <si>
    <t xml:space="preserve">DOY </t>
  </si>
  <si>
    <t xml:space="preserve">Day of year </t>
  </si>
  <si>
    <t xml:space="preserve">DRAIN </t>
  </si>
  <si>
    <t xml:space="preserve">Amount of drainge water from soil profile </t>
  </si>
  <si>
    <t xml:space="preserve">DRAIN1 </t>
  </si>
  <si>
    <t xml:space="preserve">Amount of drainge water from top layer </t>
  </si>
  <si>
    <t xml:space="preserve">DRAINF </t>
  </si>
  <si>
    <t xml:space="preserve">Drainage factor </t>
  </si>
  <si>
    <t xml:space="preserve">DTBSG </t>
  </si>
  <si>
    <t>d</t>
  </si>
  <si>
    <t xml:space="preserve">Days to beginning seed growth </t>
  </si>
  <si>
    <t xml:space="preserve">DTEMR </t>
  </si>
  <si>
    <t xml:space="preserve">Days to emergence </t>
  </si>
  <si>
    <t xml:space="preserve">DTMAT </t>
  </si>
  <si>
    <t xml:space="preserve">Days to maturity </t>
  </si>
  <si>
    <t xml:space="preserve">DTTLM </t>
  </si>
  <si>
    <t xml:space="preserve">Days to termination leaf growth on mainstem </t>
  </si>
  <si>
    <t xml:space="preserve">DTTSG </t>
  </si>
  <si>
    <t xml:space="preserve">Days to termination seed growth </t>
  </si>
  <si>
    <t xml:space="preserve">DUL </t>
  </si>
  <si>
    <t xml:space="preserve">Volumetric soil water content at drained upper limit </t>
  </si>
  <si>
    <t xml:space="preserve">DYSE </t>
  </si>
  <si>
    <t xml:space="preserve">d </t>
  </si>
  <si>
    <t>Days since last rain and / or irrigation that has wetted soil top layer</t>
  </si>
  <si>
    <t xml:space="preserve">EEQ </t>
  </si>
  <si>
    <t>mm d-1</t>
  </si>
  <si>
    <t xml:space="preserve">Evaporation equivalent </t>
  </si>
  <si>
    <t xml:space="preserve">EOS </t>
  </si>
  <si>
    <t xml:space="preserve">Potential soil evaporation </t>
  </si>
  <si>
    <t xml:space="preserve">EOSMIN </t>
  </si>
  <si>
    <t xml:space="preserve">Minimum soil evaporation </t>
  </si>
  <si>
    <t>ETLAI</t>
  </si>
  <si>
    <t xml:space="preserve">Leaf area index used in calculation of evapotranspiration </t>
  </si>
  <si>
    <t xml:space="preserve">EWAT </t>
  </si>
  <si>
    <t xml:space="preserve">mm </t>
  </si>
  <si>
    <t xml:space="preserve">Amount of water become available for crop use due to root growth </t>
  </si>
  <si>
    <t xml:space="preserve">EXTR </t>
  </si>
  <si>
    <t xml:space="preserve">Volumetric soil water content available for extraction by crop roots </t>
  </si>
  <si>
    <t xml:space="preserve">FG </t>
  </si>
  <si>
    <t xml:space="preserve">Fraction coarse material in soil </t>
  </si>
  <si>
    <t xml:space="preserve">FINT </t>
  </si>
  <si>
    <t>Fraction intercepted radiation (PAR)</t>
  </si>
  <si>
    <t xml:space="preserve">FLF1A </t>
  </si>
  <si>
    <t>g g-1</t>
  </si>
  <si>
    <t>Partitioning coefficient to leaves during main phase of leaf area development at lower levels of total crop mass</t>
  </si>
  <si>
    <t xml:space="preserve">FLF1B </t>
  </si>
  <si>
    <t>Partitioning coefficient to leaves during main phase of leaf area development at higher levels of total crop mass</t>
  </si>
  <si>
    <t xml:space="preserve">FLF2 </t>
  </si>
  <si>
    <t>Partitioning coefficient to leaves from termination leaf growth on mainstem to beginning seed growth</t>
  </si>
  <si>
    <t xml:space="preserve">Fraction soil organic nitrogen available for mineralization </t>
  </si>
  <si>
    <t xml:space="preserve">FN </t>
  </si>
  <si>
    <t>#</t>
  </si>
  <si>
    <t>Number of N fertilizer application</t>
  </si>
  <si>
    <t xml:space="preserve">FROOT1 </t>
  </si>
  <si>
    <t>Fraction of soil top layer exploited by crop roots</t>
  </si>
  <si>
    <t>FRTRL</t>
  </si>
  <si>
    <t>Fraction crop mass at beginning seed growth which is translocateble to grains</t>
  </si>
  <si>
    <t xml:space="preserve">FTSW </t>
  </si>
  <si>
    <t xml:space="preserve">Fraction transpirable soil water </t>
  </si>
  <si>
    <t xml:space="preserve">FTSW1 </t>
  </si>
  <si>
    <t xml:space="preserve">Fraction transpirable soil water at top layer </t>
  </si>
  <si>
    <t>GCC</t>
  </si>
  <si>
    <t>Grain conversion coefficient</t>
  </si>
  <si>
    <t>Daily increase (growth) in leaf area index</t>
  </si>
  <si>
    <t xml:space="preserve">GLF </t>
  </si>
  <si>
    <t xml:space="preserve">Daily increase (growth) in leaf weight </t>
  </si>
  <si>
    <t xml:space="preserve">GNC </t>
  </si>
  <si>
    <t xml:space="preserve">Grain nitrogen concentration </t>
  </si>
  <si>
    <t xml:space="preserve">GRTD </t>
  </si>
  <si>
    <t xml:space="preserve">Daily increase (growth) in root depth </t>
  </si>
  <si>
    <t xml:space="preserve">GRTDP </t>
  </si>
  <si>
    <t xml:space="preserve">Potential daily increase (growth) in root depth </t>
  </si>
  <si>
    <t xml:space="preserve">GST </t>
  </si>
  <si>
    <t xml:space="preserve">Daily increase (growth) in stem dry weight </t>
  </si>
  <si>
    <t>INGRN</t>
  </si>
  <si>
    <t>g N m-2 d-1</t>
  </si>
  <si>
    <t xml:space="preserve">Daily rate of nitrogen accumulation in grains </t>
  </si>
  <si>
    <t xml:space="preserve">iniDMD </t>
  </si>
  <si>
    <t xml:space="preserve">A variable that indicates if dry matter distribution submodel has been initialized (1) or not (0) </t>
  </si>
  <si>
    <t xml:space="preserve">iniDMP </t>
  </si>
  <si>
    <t xml:space="preserve">A variable that indicates if dry matter production submodel has been initialized (1) or not (0) </t>
  </si>
  <si>
    <t xml:space="preserve">iniLAI </t>
  </si>
  <si>
    <t xml:space="preserve">A variable that indicates if crop LAI submodel has been initialized (1) or not (0) </t>
  </si>
  <si>
    <t xml:space="preserve">iniPheno </t>
  </si>
  <si>
    <t xml:space="preserve">A variable that indicates if phenology submodel has been initialized (1) or not (0) </t>
  </si>
  <si>
    <t>iniPNB</t>
  </si>
  <si>
    <t xml:space="preserve">A variable that indicates if plant nitrogen budget submodel has been initialized (1) or not (0) </t>
  </si>
  <si>
    <t>iniSNB</t>
  </si>
  <si>
    <t xml:space="preserve">A variable that indicates if soil nitrogen balance submodel has been initialized (1) or not (0) </t>
  </si>
  <si>
    <t xml:space="preserve">iniSW </t>
  </si>
  <si>
    <t xml:space="preserve">A variable that indicates if soil water submodel has been initialized (1) or not (0) </t>
  </si>
  <si>
    <t xml:space="preserve">INLF </t>
  </si>
  <si>
    <t xml:space="preserve">Daily rate of nitrogen accumulation in leaves </t>
  </si>
  <si>
    <t xml:space="preserve">INODE </t>
  </si>
  <si>
    <t># d-1</t>
  </si>
  <si>
    <t xml:space="preserve">Daily increase in mainstem node number </t>
  </si>
  <si>
    <t xml:space="preserve">INSOL </t>
  </si>
  <si>
    <t xml:space="preserve">Initial soil nitrogen in soil solution </t>
  </si>
  <si>
    <t xml:space="preserve">INST </t>
  </si>
  <si>
    <t xml:space="preserve">Daily rate of nitrogen accumulation in stems  </t>
  </si>
  <si>
    <t xml:space="preserve">IPATSW </t>
  </si>
  <si>
    <t xml:space="preserve">Actual transpirable soil water at sowing time </t>
  </si>
  <si>
    <t xml:space="preserve">IRGLVL </t>
  </si>
  <si>
    <t>FTSW when the crop needs to be irrigated; irrigation threshold level</t>
  </si>
  <si>
    <t xml:space="preserve">IRGNO </t>
  </si>
  <si>
    <t xml:space="preserve">Irrigation number </t>
  </si>
  <si>
    <t xml:space="preserve">IRGW </t>
  </si>
  <si>
    <t xml:space="preserve">Irrigation water </t>
  </si>
  <si>
    <t xml:space="preserve">IRUE </t>
  </si>
  <si>
    <t>g MJ-1</t>
  </si>
  <si>
    <t xml:space="preserve">Radiation use efficiency under optimal growth conditions </t>
  </si>
  <si>
    <t xml:space="preserve">KDNIT </t>
  </si>
  <si>
    <t>d-1</t>
  </si>
  <si>
    <t>A coefficient indicating soil temperature effect on nitrogen denitrification</t>
  </si>
  <si>
    <t xml:space="preserve">KET </t>
  </si>
  <si>
    <t xml:space="preserve">Extinction coefficient for golbal solar radiation which is used in calculation of evapotranspiration </t>
  </si>
  <si>
    <t xml:space="preserve">KN </t>
  </si>
  <si>
    <t xml:space="preserve">A coefficient indicating soil temperature effect on nitrogen mineralization </t>
  </si>
  <si>
    <t xml:space="preserve">KNMIN </t>
  </si>
  <si>
    <t xml:space="preserve">Exponent for calculation of nitrogen mineralization </t>
  </si>
  <si>
    <t xml:space="preserve">KPAR </t>
  </si>
  <si>
    <t>Extinction coefficient for photosyntheticaly active radiation (PAR)</t>
  </si>
  <si>
    <t xml:space="preserve">LAI </t>
  </si>
  <si>
    <t xml:space="preserve">Leaf area index </t>
  </si>
  <si>
    <t xml:space="preserve">MAI </t>
  </si>
  <si>
    <t xml:space="preserve">Soil moisture availability index (0-1) in soil profile </t>
  </si>
  <si>
    <t xml:space="preserve">MAI1 </t>
  </si>
  <si>
    <t xml:space="preserve">Soil moisture availability index (0-1) in top-lyer </t>
  </si>
  <si>
    <t xml:space="preserve">MEED </t>
  </si>
  <si>
    <t>Maximum effective depth of water extraction from soil by roots</t>
  </si>
  <si>
    <t xml:space="preserve">MNORG </t>
  </si>
  <si>
    <t xml:space="preserve">Amount of soil organic nitrogen in top layer available for mineralization </t>
  </si>
  <si>
    <t xml:space="preserve">MSNN </t>
  </si>
  <si>
    <t xml:space="preserve">Mainstem node number </t>
  </si>
  <si>
    <t xml:space="preserve">MXLAI </t>
  </si>
  <si>
    <t xml:space="preserve">Maximum leaf area index </t>
  </si>
  <si>
    <t xml:space="preserve">MXNUP </t>
  </si>
  <si>
    <t xml:space="preserve">Maximum uptake (fixation) rate of nitrogen </t>
  </si>
  <si>
    <t xml:space="preserve">NCON </t>
  </si>
  <si>
    <t>g N g-1</t>
  </si>
  <si>
    <t xml:space="preserve">Nitrogen concentration in soil solution </t>
  </si>
  <si>
    <t xml:space="preserve">NDNIT </t>
  </si>
  <si>
    <t xml:space="preserve">Daily rate of nitrogen denitrification </t>
  </si>
  <si>
    <t xml:space="preserve">NFERT </t>
  </si>
  <si>
    <t xml:space="preserve">Amount of N fertilizer </t>
  </si>
  <si>
    <t>NFERTI</t>
  </si>
  <si>
    <t xml:space="preserve">Accumulated nitrogen in grains </t>
  </si>
  <si>
    <t xml:space="preserve">NH4 </t>
  </si>
  <si>
    <t xml:space="preserve">Amount of nitrogen in NH4 form in soil top layer </t>
  </si>
  <si>
    <t xml:space="preserve">nitrogen </t>
  </si>
  <si>
    <t>A variable that specifies nitrogen simulation: 0 for non-N-limited conditions, 1 for legumes N-limited conditions, and 2 for non-legumes N-limited conditions</t>
  </si>
  <si>
    <t xml:space="preserve">NLEACH </t>
  </si>
  <si>
    <t xml:space="preserve">Daily rate of nitrogen leached from the top layer </t>
  </si>
  <si>
    <t xml:space="preserve">NLF </t>
  </si>
  <si>
    <t xml:space="preserve">Accumulated nitrogen in leaves  </t>
  </si>
  <si>
    <t xml:space="preserve">NMIN </t>
  </si>
  <si>
    <t xml:space="preserve">Daily rate of soil nitrogen mineralization </t>
  </si>
  <si>
    <t xml:space="preserve">NO3 </t>
  </si>
  <si>
    <t xml:space="preserve">Amount of nitrogen in NO3 from in soil top layer </t>
  </si>
  <si>
    <t xml:space="preserve">NORG </t>
  </si>
  <si>
    <t xml:space="preserve">Amount of soil organic nitrogen in top layer </t>
  </si>
  <si>
    <t>NORGP</t>
  </si>
  <si>
    <t xml:space="preserve">Percentage soil organic nitrogen </t>
  </si>
  <si>
    <t xml:space="preserve">NSOL </t>
  </si>
  <si>
    <t xml:space="preserve">Total soil nitrogen in soil solution </t>
  </si>
  <si>
    <t xml:space="preserve">NST </t>
  </si>
  <si>
    <t xml:space="preserve">Accumulated nitrogen in stems </t>
  </si>
  <si>
    <t xml:space="preserve">NSTDF </t>
  </si>
  <si>
    <t xml:space="preserve">Amount of nitrogen required to bring stem nitrogen concentration to its target concentration </t>
  </si>
  <si>
    <t xml:space="preserve">NUP </t>
  </si>
  <si>
    <t>Daily rate of nitrogen accumulation in crop above-ground organs</t>
  </si>
  <si>
    <t xml:space="preserve">NVOL </t>
  </si>
  <si>
    <t xml:space="preserve">PDEN </t>
  </si>
  <si>
    <t># m-2</t>
  </si>
  <si>
    <t>Plant density</t>
  </si>
  <si>
    <t>pdoy</t>
  </si>
  <si>
    <t>Day of year (1-365) when crop is sown</t>
  </si>
  <si>
    <t xml:space="preserve">PET </t>
  </si>
  <si>
    <t xml:space="preserve">Potential evapotranspiration </t>
  </si>
  <si>
    <t xml:space="preserve">PHYL </t>
  </si>
  <si>
    <t xml:space="preserve">oC per leaf </t>
  </si>
  <si>
    <t xml:space="preserve">Phyllochron </t>
  </si>
  <si>
    <t xml:space="preserve">PLA1 </t>
  </si>
  <si>
    <t>cm2 per plant</t>
  </si>
  <si>
    <t xml:space="preserve">Plant leaf area yesterday </t>
  </si>
  <si>
    <t xml:space="preserve">PLA2 </t>
  </si>
  <si>
    <t>Plant leaf area today</t>
  </si>
  <si>
    <t xml:space="preserve">PLACON </t>
  </si>
  <si>
    <t xml:space="preserve">A coefficient (constant) in power relationship between plant leaf area and mainstem node number </t>
  </si>
  <si>
    <t xml:space="preserve">PLAPOW </t>
  </si>
  <si>
    <t xml:space="preserve">A coefficient (exponent) in power relationship between plant leaf area and mainstem node number </t>
  </si>
  <si>
    <t>pyear</t>
  </si>
  <si>
    <t>Year of sowing</t>
  </si>
  <si>
    <t xml:space="preserve">RAIN </t>
  </si>
  <si>
    <t xml:space="preserve">Daily rainfall </t>
  </si>
  <si>
    <t xml:space="preserve">RN </t>
  </si>
  <si>
    <t xml:space="preserve">A coefficient indicating soil moisture effect on nitrogen mineralization </t>
  </si>
  <si>
    <t xml:space="preserve">RUE </t>
  </si>
  <si>
    <t>Radiation use efficiency adjusted for temperature and water stress</t>
  </si>
  <si>
    <t xml:space="preserve">RUNOF </t>
  </si>
  <si>
    <t xml:space="preserve">Daily run-off </t>
  </si>
  <si>
    <t xml:space="preserve">S </t>
  </si>
  <si>
    <t xml:space="preserve">Soil retention parameter in calculation of run-off </t>
  </si>
  <si>
    <t xml:space="preserve">SALB </t>
  </si>
  <si>
    <t xml:space="preserve">SAT </t>
  </si>
  <si>
    <t>Volumetric soil water content at saturation</t>
  </si>
  <si>
    <t xml:space="preserve">SEVP </t>
  </si>
  <si>
    <t xml:space="preserve">Actual soil evaporation </t>
  </si>
  <si>
    <t xml:space="preserve">SGR </t>
  </si>
  <si>
    <t xml:space="preserve">Daily increase in seeds (grains) dry matter </t>
  </si>
  <si>
    <t xml:space="preserve">SLA </t>
  </si>
  <si>
    <t>m2 g-1</t>
  </si>
  <si>
    <t xml:space="preserve">Specific leaf area </t>
  </si>
  <si>
    <t xml:space="preserve">SLNG </t>
  </si>
  <si>
    <t>Specific leaf nitrogen in green leaves (target)</t>
  </si>
  <si>
    <t xml:space="preserve">SLNS </t>
  </si>
  <si>
    <t>Specific leaf nitrogen in senesced leaves (minimum)</t>
  </si>
  <si>
    <t xml:space="preserve">SNAVL </t>
  </si>
  <si>
    <t xml:space="preserve">Soil available nitrogen </t>
  </si>
  <si>
    <t>SNCG</t>
  </si>
  <si>
    <t xml:space="preserve">Stem nitrogen concentration in green stems (target) </t>
  </si>
  <si>
    <t xml:space="preserve">SNCS </t>
  </si>
  <si>
    <t xml:space="preserve">Stem nitrogen concentration in senesced stems (minimum) </t>
  </si>
  <si>
    <t>SOILM</t>
  </si>
  <si>
    <t xml:space="preserve">Soil weight in top layer </t>
  </si>
  <si>
    <t xml:space="preserve">SOLDEP </t>
  </si>
  <si>
    <t xml:space="preserve">Soil depth </t>
  </si>
  <si>
    <t>MJ m-2 d-1</t>
  </si>
  <si>
    <t xml:space="preserve">Solar radiation </t>
  </si>
  <si>
    <t xml:space="preserve">SWER </t>
  </si>
  <si>
    <t>TBD</t>
  </si>
  <si>
    <t xml:space="preserve">oC  </t>
  </si>
  <si>
    <t xml:space="preserve">Base temperature for development </t>
  </si>
  <si>
    <t>TBRUE</t>
  </si>
  <si>
    <t xml:space="preserve">Base temperature for dry matter production </t>
  </si>
  <si>
    <t>TCD</t>
  </si>
  <si>
    <t xml:space="preserve">Ceiling temperature for development </t>
  </si>
  <si>
    <t xml:space="preserve">TCFRUE </t>
  </si>
  <si>
    <t xml:space="preserve">A correction factor of radiation use efficiency for daily temperature </t>
  </si>
  <si>
    <t xml:space="preserve">TCRUE </t>
  </si>
  <si>
    <t xml:space="preserve">Ceiling temperature for dry matter production </t>
  </si>
  <si>
    <t xml:space="preserve">TD </t>
  </si>
  <si>
    <t>Air temperature during the day</t>
  </si>
  <si>
    <t xml:space="preserve">TEC </t>
  </si>
  <si>
    <t xml:space="preserve">Transpiration efficiency coefficient </t>
  </si>
  <si>
    <t xml:space="preserve">tempfun </t>
  </si>
  <si>
    <t xml:space="preserve">Temperature function (0-1) for development </t>
  </si>
  <si>
    <t xml:space="preserve">Maximum temperature </t>
  </si>
  <si>
    <t xml:space="preserve">TMIN </t>
  </si>
  <si>
    <t xml:space="preserve">Minimum temperature </t>
  </si>
  <si>
    <t xml:space="preserve">Average daily temperature </t>
  </si>
  <si>
    <t xml:space="preserve">TMPS </t>
  </si>
  <si>
    <t xml:space="preserve">Soil temperature </t>
  </si>
  <si>
    <t>TP1D</t>
  </si>
  <si>
    <t xml:space="preserve">Lower optimum temperature for development </t>
  </si>
  <si>
    <t>TP1RUE</t>
  </si>
  <si>
    <t xml:space="preserve">Lower optimum temperature for dry matter production </t>
  </si>
  <si>
    <t>TP2D</t>
  </si>
  <si>
    <t xml:space="preserve">Upper optimum temperature for development </t>
  </si>
  <si>
    <t>TP2RUE</t>
  </si>
  <si>
    <t xml:space="preserve">Upper optimum temperature for dry matter production </t>
  </si>
  <si>
    <t xml:space="preserve">TR </t>
  </si>
  <si>
    <t xml:space="preserve">Daily transpiration </t>
  </si>
  <si>
    <t xml:space="preserve">TR1 </t>
  </si>
  <si>
    <t xml:space="preserve">Daily transpirational water that is uptaken from top layer </t>
  </si>
  <si>
    <t xml:space="preserve">TRANSL </t>
  </si>
  <si>
    <t>Daily rate of dry matter translocation from vegetative organs to grains</t>
  </si>
  <si>
    <t xml:space="preserve">TRLDM </t>
  </si>
  <si>
    <t xml:space="preserve">Total crop mass at beginning seed growth which is translocateable to grains </t>
  </si>
  <si>
    <t>ttSOWEMR</t>
  </si>
  <si>
    <t xml:space="preserve">TTSW </t>
  </si>
  <si>
    <t xml:space="preserve">Total transpirable soil water </t>
  </si>
  <si>
    <t xml:space="preserve">TTSW1 </t>
  </si>
  <si>
    <t xml:space="preserve">Total transpirable soil water at top layer </t>
  </si>
  <si>
    <t xml:space="preserve">VOLF </t>
  </si>
  <si>
    <t>VOLFI</t>
  </si>
  <si>
    <t xml:space="preserve">Volatilization factor for a N application </t>
  </si>
  <si>
    <t xml:space="preserve">VPD </t>
  </si>
  <si>
    <t>kPa</t>
  </si>
  <si>
    <t xml:space="preserve">Vapor pressure deficit </t>
  </si>
  <si>
    <t xml:space="preserve">VPDF </t>
  </si>
  <si>
    <t>A coefficient to calculate VPD; 0.65 for humid and subhumid climates and 0.75 for arid and semi-arid climates</t>
  </si>
  <si>
    <t xml:space="preserve">VPTMAX </t>
  </si>
  <si>
    <t xml:space="preserve">Air vapor pressure at maximum temperature </t>
  </si>
  <si>
    <t>VPTMIN</t>
  </si>
  <si>
    <t xml:space="preserve">Air vapor pressure at minimum temperature </t>
  </si>
  <si>
    <t xml:space="preserve">WAT1 </t>
  </si>
  <si>
    <t xml:space="preserve">Amount of soil water in top layer </t>
  </si>
  <si>
    <t xml:space="preserve">water </t>
  </si>
  <si>
    <t>A variable that specifies soil water simulation: 0 for potential production, 1 for irrigated water-limited conditions, and 2 for rainfed water-limited conditions</t>
  </si>
  <si>
    <t xml:space="preserve">WETWAT </t>
  </si>
  <si>
    <t>Amount of rain and/or irrigation required to wet top layer and bring soil evaporation from stage II to I</t>
  </si>
  <si>
    <t xml:space="preserve">WGRN </t>
  </si>
  <si>
    <t xml:space="preserve">Accumulated grain dry matter </t>
  </si>
  <si>
    <t xml:space="preserve">WLF </t>
  </si>
  <si>
    <t xml:space="preserve">Accumulated leaf dry matter </t>
  </si>
  <si>
    <t xml:space="preserve">WLL1 </t>
  </si>
  <si>
    <t xml:space="preserve">Amount of soil water in top layer at lower limit </t>
  </si>
  <si>
    <t>WSAT1</t>
  </si>
  <si>
    <t xml:space="preserve">Amount of soil water in top layer at saturation </t>
  </si>
  <si>
    <t xml:space="preserve">WSFD </t>
  </si>
  <si>
    <t>Water stress factor for development</t>
  </si>
  <si>
    <t xml:space="preserve">WSFG </t>
  </si>
  <si>
    <t>Water stress factor for growth (dry matter production)</t>
  </si>
  <si>
    <t xml:space="preserve">WSFL </t>
  </si>
  <si>
    <t xml:space="preserve">Water stress factor for leaf area development </t>
  </si>
  <si>
    <t xml:space="preserve">WSSD </t>
  </si>
  <si>
    <t xml:space="preserve">A coefficient that specifies acceleration or retradation in development in response to water deficit </t>
  </si>
  <si>
    <t>WSSG</t>
  </si>
  <si>
    <t xml:space="preserve">FTSW threshold when dry matter production starts to decline </t>
  </si>
  <si>
    <t xml:space="preserve">WSSL </t>
  </si>
  <si>
    <t xml:space="preserve">FTSW threshold when leaf area development starts to decline </t>
  </si>
  <si>
    <t xml:space="preserve">WSSN </t>
  </si>
  <si>
    <t xml:space="preserve">FTSW threshold when nitrogen fixation starts to decline </t>
  </si>
  <si>
    <t xml:space="preserve">WST </t>
  </si>
  <si>
    <t xml:space="preserve">Accumulated stem dry matter </t>
  </si>
  <si>
    <t xml:space="preserve">WSTORG </t>
  </si>
  <si>
    <t>Amount of available soil water below crop root layer</t>
  </si>
  <si>
    <t xml:space="preserve">WTOP </t>
  </si>
  <si>
    <t xml:space="preserve">Accumulated crop (above-ground) dry matter </t>
  </si>
  <si>
    <t xml:space="preserve">WTOPL </t>
  </si>
  <si>
    <t>Total crop mass when leaf partitioning coefficient turns from FLF1A to FLF1B</t>
  </si>
  <si>
    <t xml:space="preserve">WVEG </t>
  </si>
  <si>
    <t xml:space="preserve">Accumulated vegetative (leaf + stem) dry matter </t>
  </si>
  <si>
    <t xml:space="preserve">XNCON </t>
  </si>
  <si>
    <t xml:space="preserve">Nitrogen concentration in soil solution used in calculation of nitrogen denitrification </t>
  </si>
  <si>
    <t xml:space="preserve">XNLF </t>
  </si>
  <si>
    <t xml:space="preserve">Daily rate of nitrogen mobilized from leaves </t>
  </si>
  <si>
    <t xml:space="preserve">XNST </t>
  </si>
  <si>
    <t xml:space="preserve">Daily rate of nitrogen mobilized from stems </t>
  </si>
  <si>
    <t xml:space="preserve">Yr </t>
  </si>
  <si>
    <t xml:space="preserve">Year  </t>
  </si>
  <si>
    <t>Non-leap year</t>
  </si>
  <si>
    <t>Jan</t>
  </si>
  <si>
    <t>Feb</t>
  </si>
  <si>
    <t>March</t>
  </si>
  <si>
    <t>April</t>
  </si>
  <si>
    <t>May</t>
  </si>
  <si>
    <t>June</t>
  </si>
  <si>
    <t>July</t>
  </si>
  <si>
    <t>Aug</t>
  </si>
  <si>
    <t>Sept</t>
  </si>
  <si>
    <t>Oct</t>
  </si>
  <si>
    <t>Nov</t>
  </si>
  <si>
    <t>Dec</t>
  </si>
  <si>
    <t>Leap year</t>
  </si>
  <si>
    <t>ALPHA</t>
  </si>
  <si>
    <t xml:space="preserve">An intermediate variable in calculation of photoperiod </t>
  </si>
  <si>
    <t>bd</t>
  </si>
  <si>
    <t>Biological day per calindar day</t>
  </si>
  <si>
    <t>bdBRP</t>
  </si>
  <si>
    <t>Biological day when response to photoperiod begins</t>
  </si>
  <si>
    <t>bdBRV</t>
  </si>
  <si>
    <t>Biological day when response to vernalization begins</t>
  </si>
  <si>
    <t>bdTRP</t>
  </si>
  <si>
    <t>Biological day when response to photoperiod terminates</t>
  </si>
  <si>
    <t>bdTRV</t>
  </si>
  <si>
    <t>Biological day when response to vernalization terminates</t>
  </si>
  <si>
    <t>CBD</t>
  </si>
  <si>
    <t>Cumulative biological days</t>
  </si>
  <si>
    <t>CEDSOC</t>
  </si>
  <si>
    <t>cpp</t>
  </si>
  <si>
    <t>h</t>
  </si>
  <si>
    <t>Critical photoperiod</t>
  </si>
  <si>
    <t>CUMVER</t>
  </si>
  <si>
    <t>Cumulative vernalization days</t>
  </si>
  <si>
    <t>DEC</t>
  </si>
  <si>
    <t>DL</t>
  </si>
  <si>
    <t>Day length</t>
  </si>
  <si>
    <t>DTBRP</t>
  </si>
  <si>
    <t xml:space="preserve">Days from sowing to beginning response to photoperiod </t>
  </si>
  <si>
    <t>DTTRP</t>
  </si>
  <si>
    <t xml:space="preserve">Days from sowing to termination response to photoperiod </t>
  </si>
  <si>
    <t>LANDA</t>
  </si>
  <si>
    <t>LAT</t>
  </si>
  <si>
    <t>o</t>
  </si>
  <si>
    <t>Latitude of location (negative for south latitudes)</t>
  </si>
  <si>
    <t>MAT</t>
  </si>
  <si>
    <t xml:space="preserve">A variable that indicate crop maturity. It has a value of 0 before crop maturity and 1 at crop maturity. </t>
  </si>
  <si>
    <t>Pi</t>
  </si>
  <si>
    <t>Pi number (3.14)</t>
  </si>
  <si>
    <t>pp</t>
  </si>
  <si>
    <t>Photoperiod duration</t>
  </si>
  <si>
    <t>ppfun</t>
  </si>
  <si>
    <t>Photoperiod function</t>
  </si>
  <si>
    <t>ppres</t>
  </si>
  <si>
    <t>Photoperiod response: 1=long day plant, 2=short day plant</t>
  </si>
  <si>
    <t>ppsen</t>
  </si>
  <si>
    <t>Photoperiod sensitivity coefficient</t>
  </si>
  <si>
    <t>RDN</t>
  </si>
  <si>
    <t>A constant to convert degree to radian</t>
  </si>
  <si>
    <t>SABH</t>
  </si>
  <si>
    <t>Sun angle below horizon</t>
  </si>
  <si>
    <t>SNOMLT</t>
  </si>
  <si>
    <t xml:space="preserve">cm </t>
  </si>
  <si>
    <t>Depth of melted snow</t>
  </si>
  <si>
    <t>SNOW</t>
  </si>
  <si>
    <t>Snow depth</t>
  </si>
  <si>
    <t>SOCRA</t>
  </si>
  <si>
    <t>TALSOC</t>
  </si>
  <si>
    <t>TBVER</t>
  </si>
  <si>
    <t>Base temperature for vernalization</t>
  </si>
  <si>
    <t>TCVER</t>
  </si>
  <si>
    <t>Ceiling temperature for vernalization</t>
  </si>
  <si>
    <t>TMAXCR</t>
  </si>
  <si>
    <t>Crowm maximum temperature</t>
  </si>
  <si>
    <t>TMINCR</t>
  </si>
  <si>
    <t xml:space="preserve">Crown minimum temperature </t>
  </si>
  <si>
    <t>TMPCR</t>
  </si>
  <si>
    <t>Crown mean temperature</t>
  </si>
  <si>
    <t>TP1VER</t>
  </si>
  <si>
    <t>Lower optimum temperature for vernalization</t>
  </si>
  <si>
    <t>TP2VER</t>
  </si>
  <si>
    <t>Upper optimum temperature for vernalization</t>
  </si>
  <si>
    <t>VDSAT</t>
  </si>
  <si>
    <t>Number of vernalization days which saturates vernalization response</t>
  </si>
  <si>
    <t>VERDAY</t>
  </si>
  <si>
    <t>d d-1</t>
  </si>
  <si>
    <t>Vernalization day per calinare day</t>
  </si>
  <si>
    <t>verfun</t>
  </si>
  <si>
    <t>Vernalization function</t>
  </si>
  <si>
    <t>vsen</t>
  </si>
  <si>
    <t>Vernalization sensitivity coefficient</t>
  </si>
  <si>
    <t>vzres</t>
  </si>
  <si>
    <t xml:space="preserve">Vernalization response: 1 if crop respond to vernalization. Otherwise it has a value of 0. </t>
  </si>
  <si>
    <t>CTU</t>
  </si>
  <si>
    <t>Cumulative temperature unit</t>
  </si>
  <si>
    <t>DELT</t>
  </si>
  <si>
    <t>mbar oK-1</t>
  </si>
  <si>
    <t xml:space="preserve">Slope of satuated vapor pressure versus temperature for daily temperature </t>
  </si>
  <si>
    <t>DNF</t>
  </si>
  <si>
    <t>Actual rate of biological nitrogen fixation</t>
  </si>
  <si>
    <t>DTU</t>
  </si>
  <si>
    <t>Daily temperature unit</t>
  </si>
  <si>
    <t>NFC</t>
  </si>
  <si>
    <t>Coefficient of biological nitrogen fixation per unit vegetative mass</t>
  </si>
  <si>
    <t>PDNF</t>
  </si>
  <si>
    <t>Potential rate of biological nitrogen fixation</t>
  </si>
  <si>
    <t>tuBNF</t>
  </si>
  <si>
    <t>Temperature unit from sowing to beginning biological nitrogen fixation (in legume crops)</t>
  </si>
  <si>
    <t xml:space="preserve">tuBRG </t>
  </si>
  <si>
    <t>Temperature unit from sowing to beginning root growth</t>
  </si>
  <si>
    <t xml:space="preserve">tuBSG </t>
  </si>
  <si>
    <t xml:space="preserve">Temperature unit from sowing to beginning seed growth </t>
  </si>
  <si>
    <t>tuBSGTSG</t>
  </si>
  <si>
    <t>Temperature unit from beginning seed growth to termination seed growth</t>
  </si>
  <si>
    <t xml:space="preserve">tuEMR </t>
  </si>
  <si>
    <t xml:space="preserve">Temperature unit from sowing to emergence </t>
  </si>
  <si>
    <t>tuEMRTLM</t>
  </si>
  <si>
    <t>Temperature unit from emergence to termination leaf growth on main stem</t>
  </si>
  <si>
    <t xml:space="preserve">tuMAT </t>
  </si>
  <si>
    <t xml:space="preserve">Temperature unit from sowing to maturity </t>
  </si>
  <si>
    <t xml:space="preserve">tuTLM </t>
  </si>
  <si>
    <t>Temperature unit from sowing to termination leaf growth on mainstem</t>
  </si>
  <si>
    <t>tuTLMBSG</t>
  </si>
  <si>
    <t xml:space="preserve">Temperature unit from termination leaf growth on mainstem to beginning seed growth </t>
  </si>
  <si>
    <t xml:space="preserve">tuTRG </t>
  </si>
  <si>
    <t>Temperature unit from sowing to termination root growth</t>
  </si>
  <si>
    <t xml:space="preserve">tuTSG </t>
  </si>
  <si>
    <t xml:space="preserve">Temperature unit from sowing to termination seed growth </t>
  </si>
  <si>
    <t>tuTSGMAT</t>
  </si>
  <si>
    <t>Temperature unit from termination seed growth to maturity</t>
  </si>
  <si>
    <t>Pdoy</t>
  </si>
  <si>
    <t xml:space="preserve">cpp = </t>
  </si>
  <si>
    <t xml:space="preserve">ppsen = </t>
  </si>
  <si>
    <t xml:space="preserve">PDHI = </t>
  </si>
  <si>
    <t xml:space="preserve">WDHI1 = </t>
  </si>
  <si>
    <t xml:space="preserve">WDHI2 = </t>
  </si>
  <si>
    <t xml:space="preserve">WDHI3 = </t>
  </si>
  <si>
    <t xml:space="preserve">WDHI4 = </t>
  </si>
  <si>
    <t>g/m2</t>
  </si>
  <si>
    <t>g/g/d</t>
  </si>
  <si>
    <t>nitrogen = 2   for N-limited conditions</t>
  </si>
  <si>
    <t>Main-stem node number:</t>
  </si>
  <si>
    <t>* For definition of abbreviations refer to 'Help' sheet</t>
  </si>
  <si>
    <t xml:space="preserve">FLDKL = </t>
  </si>
  <si>
    <t xml:space="preserve">TKILL = </t>
  </si>
  <si>
    <t xml:space="preserve">FRZLDR = </t>
  </si>
  <si>
    <t>m2/m2/oC</t>
  </si>
  <si>
    <t>DAP- or CBD-based:</t>
  </si>
  <si>
    <t>Cum. leaf N (g.m-2):</t>
  </si>
  <si>
    <t>Cum. stem N (g.m-2):</t>
  </si>
  <si>
    <t>Cum. vegetative N (g.m-2):</t>
  </si>
  <si>
    <t>Cum. grain N (g.m-2):</t>
  </si>
  <si>
    <t>Cum. total N (g.m-2):</t>
  </si>
  <si>
    <t>Soil N at sowing (g.m-2):</t>
  </si>
  <si>
    <t>Cum. fertilizer N (g.m-2):</t>
  </si>
  <si>
    <t>Cum N minaralization (g.m-2):</t>
  </si>
  <si>
    <t>Soil N at maturity (g.m-2):</t>
  </si>
  <si>
    <t>Cum. crop uptake (g.m-2):</t>
  </si>
  <si>
    <t>Cum. N volatilization (g.m-2):</t>
  </si>
  <si>
    <t>Cum. N leaching (g.m-2):</t>
  </si>
  <si>
    <t>Cum. N denitrification (g.m-2):</t>
  </si>
  <si>
    <t>DAP/CBD</t>
  </si>
  <si>
    <t>yno</t>
  </si>
  <si>
    <t>Location</t>
  </si>
  <si>
    <t>Latitute</t>
  </si>
  <si>
    <t>VPDF</t>
  </si>
  <si>
    <t>Description</t>
  </si>
  <si>
    <t>Gorgan, Golestan, Iran</t>
  </si>
  <si>
    <t>&lt;--- MangRowNo</t>
  </si>
  <si>
    <t>Code</t>
  </si>
  <si>
    <t>Description:</t>
  </si>
  <si>
    <t>FixFind</t>
  </si>
  <si>
    <t>Fyear</t>
  </si>
  <si>
    <t>PDEN</t>
  </si>
  <si>
    <t>IRGLVL</t>
  </si>
  <si>
    <t>&lt;-- SoilRowNo</t>
  </si>
  <si>
    <t>SALB</t>
  </si>
  <si>
    <t>CN2</t>
  </si>
  <si>
    <t>LDRAIN</t>
  </si>
  <si>
    <t>NLYER</t>
  </si>
  <si>
    <t>EBI0001</t>
  </si>
  <si>
    <t>E.Zeinali xxxx xxxx</t>
  </si>
  <si>
    <t>CropColNo --&gt;</t>
  </si>
  <si>
    <t>WthFirstRow</t>
  </si>
  <si>
    <t xml:space="preserve">No of scenarios = </t>
  </si>
  <si>
    <t xml:space="preserve">Scenario </t>
  </si>
  <si>
    <t>LocRowNo</t>
  </si>
  <si>
    <t>MangRowNo</t>
  </si>
  <si>
    <t>SoilRowNo</t>
  </si>
  <si>
    <t>CropColNo</t>
  </si>
  <si>
    <t>INPUTS:</t>
  </si>
  <si>
    <t>&lt;-- LocRowNo</t>
  </si>
  <si>
    <r>
      <t>SUMMARY OUTPUTS (</t>
    </r>
    <r>
      <rPr>
        <b/>
        <u/>
        <sz val="14"/>
        <color indexed="10"/>
        <rFont val="Arial"/>
        <family val="2"/>
      </rPr>
      <t>for when no of scenarios=1 &amp; no of years of simulation =1</t>
    </r>
    <r>
      <rPr>
        <b/>
        <sz val="14"/>
        <rFont val="Arial"/>
        <family val="2"/>
      </rPr>
      <t>):</t>
    </r>
  </si>
  <si>
    <t>Weather File Path &amp; Name</t>
  </si>
  <si>
    <t>mm/bd</t>
  </si>
  <si>
    <t>U</t>
  </si>
  <si>
    <t>bdSOWEMR</t>
  </si>
  <si>
    <t>Days to physiological maturity:</t>
  </si>
  <si>
    <t>Days to harvest maturity:</t>
  </si>
  <si>
    <t xml:space="preserve">water = </t>
  </si>
  <si>
    <t>DAP-, CBD- or DOY-based:</t>
  </si>
  <si>
    <t>DAP/CBD/DOY</t>
  </si>
  <si>
    <t>Amount</t>
  </si>
  <si>
    <t>(mm)</t>
  </si>
  <si>
    <t xml:space="preserve">(-) </t>
  </si>
  <si>
    <t>No</t>
  </si>
  <si>
    <t xml:space="preserve">Number of irrig. = </t>
  </si>
  <si>
    <t>water = 3   for fixed irrigation at defined time(s)</t>
  </si>
  <si>
    <t>LAI at anthesis:</t>
  </si>
  <si>
    <t>Crop mass at anthesis (g.m-2):</t>
  </si>
  <si>
    <t>sName</t>
  </si>
  <si>
    <t>Manag</t>
  </si>
  <si>
    <t>Soil</t>
  </si>
  <si>
    <t>Crop</t>
  </si>
  <si>
    <t>Pyear</t>
  </si>
  <si>
    <t>dtEMR</t>
  </si>
  <si>
    <t>dtBSG</t>
  </si>
  <si>
    <t>dtTSG</t>
  </si>
  <si>
    <t>dtPM</t>
  </si>
  <si>
    <t>dtMAT</t>
  </si>
  <si>
    <t>WTOP</t>
  </si>
  <si>
    <t>WGRN</t>
  </si>
  <si>
    <t>HI</t>
  </si>
  <si>
    <t>IPASW</t>
  </si>
  <si>
    <t>CRAIN</t>
  </si>
  <si>
    <t>CIRGW</t>
  </si>
  <si>
    <t>IRGNO</t>
  </si>
  <si>
    <t>ATSWSL</t>
  </si>
  <si>
    <t>CRUNOF</t>
  </si>
  <si>
    <t>CE</t>
  </si>
  <si>
    <t>CTR</t>
  </si>
  <si>
    <t>CDRAIN</t>
  </si>
  <si>
    <t>ET</t>
  </si>
  <si>
    <t>NLF</t>
  </si>
  <si>
    <t>NST</t>
  </si>
  <si>
    <t>NVEG</t>
  </si>
  <si>
    <t>CNUP</t>
  </si>
  <si>
    <t>INSOL</t>
  </si>
  <si>
    <t>CNFERT</t>
  </si>
  <si>
    <t>CNMIN</t>
  </si>
  <si>
    <t>CNSOL</t>
  </si>
  <si>
    <t>CNVOL</t>
  </si>
  <si>
    <t>CNLEACH</t>
  </si>
  <si>
    <t>CNDNIT</t>
  </si>
  <si>
    <t>Daneshgah</t>
  </si>
  <si>
    <t>Danesh</t>
  </si>
  <si>
    <t>MSNN</t>
  </si>
  <si>
    <t>F:\Dropbox\Current\iModels\Weather\gorgan.xls</t>
  </si>
  <si>
    <t>E/ET</t>
  </si>
  <si>
    <t>bdEMREJU</t>
  </si>
  <si>
    <t>dtEJU</t>
  </si>
  <si>
    <t>Isfahan</t>
  </si>
  <si>
    <t>F:\Dropbox\Current\iModels\Weather\Isfahan_9295.xls</t>
  </si>
  <si>
    <t>Isfahan, Isfahan, Iran</t>
  </si>
  <si>
    <t>Irr-is-1</t>
  </si>
  <si>
    <t>Days to end of juvenile:</t>
  </si>
  <si>
    <t>Patancheru</t>
  </si>
  <si>
    <t>Patancheru-rfd</t>
  </si>
  <si>
    <t>Patancheru-irr</t>
  </si>
  <si>
    <t>Pch-rfd</t>
  </si>
  <si>
    <t>F:\Dropbox\Current\iModels\Weather\Patancheru.xls</t>
  </si>
  <si>
    <t>Patancheru, India</t>
  </si>
  <si>
    <t>Pch-irr</t>
  </si>
  <si>
    <t>Gorgan-RFD</t>
  </si>
  <si>
    <t>gorgan-rfd</t>
  </si>
  <si>
    <t>Gorgan-IRR</t>
  </si>
  <si>
    <t>Gorgan-irr</t>
  </si>
  <si>
    <t>Isfahan-IRR</t>
  </si>
  <si>
    <t>Isfahan-irr</t>
  </si>
  <si>
    <t xml:space="preserve">300 kg DAP at sowing </t>
  </si>
  <si>
    <t xml:space="preserve">200 kg urea at sowing </t>
  </si>
  <si>
    <t>100 kg urea at ?</t>
  </si>
  <si>
    <t>Maize</t>
  </si>
  <si>
    <t>bdSILPM</t>
  </si>
  <si>
    <t>Is-Irr-1</t>
  </si>
  <si>
    <t>DOY</t>
  </si>
  <si>
    <t>DAP</t>
  </si>
  <si>
    <t>LAI</t>
  </si>
  <si>
    <t>TCFRUE</t>
  </si>
  <si>
    <t>FINT</t>
  </si>
  <si>
    <t>DDMP</t>
  </si>
  <si>
    <t>GLF</t>
  </si>
  <si>
    <t>GST</t>
  </si>
  <si>
    <t>SGR</t>
  </si>
  <si>
    <t>WLF</t>
  </si>
  <si>
    <t>WST</t>
  </si>
  <si>
    <t>WVEG</t>
  </si>
  <si>
    <t>DEPORT</t>
  </si>
  <si>
    <t>RAIN</t>
  </si>
  <si>
    <t>IRGW</t>
  </si>
  <si>
    <t>RUNOF</t>
  </si>
  <si>
    <t>PET</t>
  </si>
  <si>
    <t>SEVP</t>
  </si>
  <si>
    <t>TR</t>
  </si>
  <si>
    <t>DRAIN</t>
  </si>
  <si>
    <t>ATSWRZ</t>
  </si>
  <si>
    <t>FTSWRZ</t>
  </si>
  <si>
    <t>NFERT</t>
  </si>
  <si>
    <t>NVOL</t>
  </si>
  <si>
    <t>NLEACH</t>
  </si>
  <si>
    <t>NMIN</t>
  </si>
  <si>
    <t>NDNIT</t>
  </si>
  <si>
    <t>SNAVL</t>
  </si>
  <si>
    <t>NSOL</t>
  </si>
  <si>
    <t>NUP</t>
  </si>
  <si>
    <t>dtTSI</t>
  </si>
  <si>
    <t>dtTSE</t>
  </si>
  <si>
    <t>dtSIL</t>
  </si>
  <si>
    <t>SILLAI</t>
  </si>
  <si>
    <t>SILDM</t>
  </si>
  <si>
    <t>Days to tassle initiation:</t>
  </si>
  <si>
    <t>Days to tassle emergence:</t>
  </si>
  <si>
    <t>Days to silking:</t>
  </si>
  <si>
    <t>Days to last leaf ligule:</t>
  </si>
  <si>
    <t>Gorgan-IRR-1</t>
  </si>
  <si>
    <t>Gorgan-irr-1</t>
  </si>
  <si>
    <t>B73*MO17 (SC704)</t>
  </si>
  <si>
    <t xml:space="preserve">PLAPOW8 = </t>
  </si>
  <si>
    <t>tchng</t>
  </si>
  <si>
    <t>pchng</t>
  </si>
  <si>
    <t>CO2</t>
  </si>
  <si>
    <t>A simple maize model for potential, water- and N-limited conditions - March 2014</t>
  </si>
  <si>
    <t>Ref: Modeling Physiology of Crop Development, Growth and Yield (2012) Soltani &amp; Sinclair &amp; SSM-Wheat</t>
  </si>
  <si>
    <r>
      <t>Contact us:</t>
    </r>
    <r>
      <rPr>
        <b/>
        <sz val="11"/>
        <rFont val="Arial"/>
        <family val="2"/>
      </rPr>
      <t xml:space="preserve"> afshin.soltani@gmail.com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</si>
</sst>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86" formatCode="0.0"/>
    <numFmt numFmtId="190" formatCode="0.000"/>
  </numFmts>
  <fonts count="28" x14ac:knownFonts="1">
    <font>
      <sz val="10"/>
      <name val="Arial"/>
      <charset val="178"/>
    </font>
    <font>
      <sz val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4"/>
      <color indexed="37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sz val="10"/>
      <color indexed="61"/>
      <name val="Arial"/>
      <family val="2"/>
      <charset val="178"/>
    </font>
    <font>
      <sz val="10"/>
      <color indexed="12"/>
      <name val="Arial"/>
      <family val="2"/>
      <charset val="178"/>
    </font>
    <font>
      <sz val="10"/>
      <color indexed="14"/>
      <name val="Arial"/>
      <family val="2"/>
      <charset val="178"/>
    </font>
    <font>
      <sz val="10"/>
      <color indexed="8"/>
      <name val="Arial"/>
      <family val="2"/>
      <charset val="178"/>
    </font>
    <font>
      <b/>
      <i/>
      <sz val="11"/>
      <name val="Arial"/>
      <family val="2"/>
    </font>
    <font>
      <b/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14"/>
      <color indexed="10"/>
      <name val="Arial"/>
      <family val="2"/>
    </font>
    <font>
      <b/>
      <u/>
      <sz val="10"/>
      <name val="Arial"/>
      <family val="2"/>
    </font>
    <font>
      <sz val="10"/>
      <color indexed="55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10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4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3" fillId="2" borderId="0" xfId="0" applyFont="1" applyFill="1"/>
    <xf numFmtId="0" fontId="2" fillId="3" borderId="0" xfId="0" applyFont="1" applyFill="1"/>
    <xf numFmtId="0" fontId="0" fillId="0" borderId="0" xfId="0" applyAlignment="1">
      <alignment horizontal="center"/>
    </xf>
    <xf numFmtId="1" fontId="5" fillId="4" borderId="0" xfId="0" applyNumberFormat="1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7" fillId="0" borderId="0" xfId="0" applyFont="1" applyFill="1" applyBorder="1"/>
    <xf numFmtId="0" fontId="5" fillId="2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2" borderId="0" xfId="0" applyFill="1"/>
    <xf numFmtId="0" fontId="0" fillId="0" borderId="0" xfId="0" applyFill="1"/>
    <xf numFmtId="0" fontId="5" fillId="0" borderId="0" xfId="0" applyFont="1" applyFill="1" applyBorder="1"/>
    <xf numFmtId="1" fontId="5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5" fillId="5" borderId="1" xfId="0" applyNumberFormat="1" applyFont="1" applyFill="1" applyBorder="1" applyAlignment="1">
      <alignment horizontal="center"/>
    </xf>
    <xf numFmtId="1" fontId="5" fillId="5" borderId="1" xfId="0" applyNumberFormat="1" applyFont="1" applyFill="1" applyBorder="1" applyAlignment="1">
      <alignment horizontal="center"/>
    </xf>
    <xf numFmtId="0" fontId="3" fillId="3" borderId="0" xfId="0" applyFont="1" applyFill="1"/>
    <xf numFmtId="0" fontId="5" fillId="3" borderId="2" xfId="0" applyFont="1" applyFill="1" applyBorder="1"/>
    <xf numFmtId="0" fontId="5" fillId="3" borderId="2" xfId="0" applyFont="1" applyFill="1" applyBorder="1" applyAlignment="1">
      <alignment horizontal="center"/>
    </xf>
    <xf numFmtId="0" fontId="0" fillId="5" borderId="1" xfId="0" applyFill="1" applyBorder="1"/>
    <xf numFmtId="1" fontId="5" fillId="4" borderId="0" xfId="0" applyNumberFormat="1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0" fontId="3" fillId="2" borderId="3" xfId="0" applyFont="1" applyFill="1" applyBorder="1"/>
    <xf numFmtId="0" fontId="8" fillId="5" borderId="4" xfId="0" applyFont="1" applyFill="1" applyBorder="1"/>
    <xf numFmtId="0" fontId="5" fillId="4" borderId="3" xfId="0" applyFont="1" applyFill="1" applyBorder="1"/>
    <xf numFmtId="186" fontId="5" fillId="2" borderId="0" xfId="0" applyNumberFormat="1" applyFont="1" applyFill="1" applyAlignment="1">
      <alignment horizontal="center"/>
    </xf>
    <xf numFmtId="186" fontId="0" fillId="0" borderId="0" xfId="0" applyNumberFormat="1" applyAlignment="1">
      <alignment horizontal="center"/>
    </xf>
    <xf numFmtId="2" fontId="5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1" fontId="5" fillId="2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5" fillId="6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2" fontId="5" fillId="4" borderId="0" xfId="0" applyNumberFormat="1" applyFont="1" applyFill="1" applyBorder="1" applyAlignment="1">
      <alignment horizontal="center"/>
    </xf>
    <xf numFmtId="0" fontId="12" fillId="0" borderId="0" xfId="0" applyFont="1" applyFill="1"/>
    <xf numFmtId="0" fontId="3" fillId="0" borderId="0" xfId="0" applyFont="1" applyFill="1" applyBorder="1"/>
    <xf numFmtId="0" fontId="0" fillId="2" borderId="0" xfId="0" applyFill="1" applyBorder="1"/>
    <xf numFmtId="0" fontId="7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2" fontId="5" fillId="0" borderId="0" xfId="0" applyNumberFormat="1" applyFont="1" applyFill="1" applyBorder="1" applyAlignment="1">
      <alignment horizontal="center"/>
    </xf>
    <xf numFmtId="0" fontId="0" fillId="3" borderId="0" xfId="0" applyFill="1"/>
    <xf numFmtId="0" fontId="7" fillId="0" borderId="0" xfId="0" applyFont="1" applyFill="1"/>
    <xf numFmtId="0" fontId="5" fillId="2" borderId="0" xfId="0" applyFont="1" applyFill="1" applyBorder="1" applyAlignment="1">
      <alignment horizontal="center"/>
    </xf>
    <xf numFmtId="186" fontId="5" fillId="5" borderId="1" xfId="0" applyNumberFormat="1" applyFont="1" applyFill="1" applyBorder="1" applyAlignment="1">
      <alignment horizontal="center"/>
    </xf>
    <xf numFmtId="186" fontId="5" fillId="0" borderId="0" xfId="0" applyNumberFormat="1" applyFont="1" applyFill="1" applyBorder="1" applyAlignment="1">
      <alignment horizontal="center"/>
    </xf>
    <xf numFmtId="186" fontId="5" fillId="4" borderId="0" xfId="0" applyNumberFormat="1" applyFont="1" applyFill="1" applyBorder="1" applyAlignment="1">
      <alignment horizontal="center"/>
    </xf>
    <xf numFmtId="186" fontId="5" fillId="4" borderId="0" xfId="0" applyNumberFormat="1" applyFont="1" applyFill="1" applyAlignment="1">
      <alignment horizontal="center"/>
    </xf>
    <xf numFmtId="0" fontId="0" fillId="0" borderId="0" xfId="0" applyBorder="1"/>
    <xf numFmtId="0" fontId="5" fillId="2" borderId="0" xfId="0" applyFont="1" applyFill="1" applyBorder="1"/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5" xfId="0" applyBorder="1"/>
    <xf numFmtId="0" fontId="14" fillId="0" borderId="5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8" fillId="3" borderId="0" xfId="0" applyFont="1" applyFill="1" applyAlignment="1">
      <alignment horizontal="left"/>
    </xf>
    <xf numFmtId="0" fontId="5" fillId="0" borderId="0" xfId="0" applyFont="1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0" fillId="0" borderId="0" xfId="0" applyAlignment="1"/>
    <xf numFmtId="1" fontId="5" fillId="0" borderId="0" xfId="0" applyNumberFormat="1" applyFont="1" applyFill="1" applyBorder="1" applyAlignment="1">
      <alignment horizontal="left"/>
    </xf>
    <xf numFmtId="2" fontId="5" fillId="0" borderId="0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 applyFill="1" applyAlignment="1">
      <alignment horizontal="center"/>
    </xf>
    <xf numFmtId="186" fontId="7" fillId="0" borderId="0" xfId="0" applyNumberFormat="1" applyFont="1" applyFill="1" applyAlignment="1">
      <alignment horizontal="center"/>
    </xf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8" borderId="0" xfId="0" applyFont="1" applyFill="1"/>
    <xf numFmtId="0" fontId="7" fillId="0" borderId="0" xfId="0" applyFont="1" applyFill="1" applyAlignment="1">
      <alignment horizontal="center"/>
    </xf>
    <xf numFmtId="0" fontId="5" fillId="6" borderId="0" xfId="0" applyFont="1" applyFill="1"/>
    <xf numFmtId="0" fontId="13" fillId="0" borderId="0" xfId="0" applyFont="1" applyFill="1" applyAlignment="1">
      <alignment horizontal="center"/>
    </xf>
    <xf numFmtId="1" fontId="7" fillId="0" borderId="0" xfId="0" applyNumberFormat="1" applyFont="1" applyFill="1" applyAlignment="1">
      <alignment horizontal="center"/>
    </xf>
    <xf numFmtId="2" fontId="7" fillId="0" borderId="0" xfId="0" applyNumberFormat="1" applyFont="1" applyFill="1" applyAlignment="1">
      <alignment horizontal="center"/>
    </xf>
    <xf numFmtId="186" fontId="5" fillId="9" borderId="0" xfId="0" applyNumberFormat="1" applyFont="1" applyFill="1" applyAlignment="1">
      <alignment horizontal="center"/>
    </xf>
    <xf numFmtId="0" fontId="5" fillId="8" borderId="6" xfId="0" applyFont="1" applyFill="1" applyBorder="1"/>
    <xf numFmtId="0" fontId="0" fillId="0" borderId="7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5" fillId="2" borderId="9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/>
    <xf numFmtId="0" fontId="7" fillId="0" borderId="9" xfId="0" applyFont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5" fillId="0" borderId="9" xfId="0" applyFont="1" applyFill="1" applyBorder="1" applyAlignment="1">
      <alignment horizontal="left"/>
    </xf>
    <xf numFmtId="0" fontId="5" fillId="4" borderId="9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9" xfId="0" applyBorder="1"/>
    <xf numFmtId="0" fontId="5" fillId="2" borderId="9" xfId="0" applyFont="1" applyFill="1" applyBorder="1"/>
    <xf numFmtId="0" fontId="19" fillId="2" borderId="9" xfId="0" applyFont="1" applyFill="1" applyBorder="1"/>
    <xf numFmtId="0" fontId="13" fillId="2" borderId="9" xfId="0" applyFont="1" applyFill="1" applyBorder="1" applyAlignment="1">
      <alignment horizontal="center"/>
    </xf>
    <xf numFmtId="0" fontId="19" fillId="2" borderId="0" xfId="0" applyFont="1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11" xfId="0" applyFont="1" applyFill="1" applyBorder="1" applyAlignment="1">
      <alignment horizontal="center"/>
    </xf>
    <xf numFmtId="0" fontId="7" fillId="0" borderId="12" xfId="0" applyFont="1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8" borderId="6" xfId="0" applyFont="1" applyFill="1" applyBorder="1" applyAlignment="1">
      <alignment horizontal="left"/>
    </xf>
    <xf numFmtId="0" fontId="5" fillId="0" borderId="7" xfId="0" applyFont="1" applyFill="1" applyBorder="1" applyAlignment="1">
      <alignment horizontal="center"/>
    </xf>
    <xf numFmtId="0" fontId="0" fillId="0" borderId="7" xfId="0" applyFill="1" applyBorder="1"/>
    <xf numFmtId="0" fontId="0" fillId="0" borderId="8" xfId="0" applyFill="1" applyBorder="1"/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2" xfId="0" applyFont="1" applyBorder="1" applyAlignment="1">
      <alignment horizontal="left"/>
    </xf>
    <xf numFmtId="0" fontId="5" fillId="2" borderId="5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24" fillId="0" borderId="0" xfId="0" applyFont="1" applyFill="1" applyAlignment="1">
      <alignment horizontal="center"/>
    </xf>
    <xf numFmtId="1" fontId="23" fillId="0" borderId="0" xfId="0" applyNumberFormat="1" applyFont="1" applyFill="1" applyBorder="1" applyAlignment="1">
      <alignment horizontal="left"/>
    </xf>
    <xf numFmtId="0" fontId="25" fillId="0" borderId="0" xfId="0" applyFont="1" applyFill="1" applyBorder="1" applyAlignment="1">
      <alignment horizontal="left"/>
    </xf>
    <xf numFmtId="0" fontId="7" fillId="4" borderId="0" xfId="0" applyFont="1" applyFill="1" applyBorder="1" applyAlignment="1">
      <alignment horizontal="left"/>
    </xf>
    <xf numFmtId="0" fontId="7" fillId="4" borderId="0" xfId="0" applyFont="1" applyFill="1" applyBorder="1"/>
    <xf numFmtId="0" fontId="5" fillId="10" borderId="5" xfId="0" applyFont="1" applyFill="1" applyBorder="1"/>
    <xf numFmtId="0" fontId="5" fillId="10" borderId="5" xfId="0" applyFont="1" applyFill="1" applyBorder="1" applyAlignment="1">
      <alignment horizontal="center"/>
    </xf>
    <xf numFmtId="0" fontId="0" fillId="10" borderId="0" xfId="0" applyFill="1" applyBorder="1"/>
    <xf numFmtId="0" fontId="0" fillId="10" borderId="0" xfId="0" applyFill="1" applyBorder="1" applyAlignment="1">
      <alignment horizontal="center"/>
    </xf>
    <xf numFmtId="0" fontId="0" fillId="10" borderId="1" xfId="0" applyFill="1" applyBorder="1"/>
    <xf numFmtId="0" fontId="5" fillId="11" borderId="0" xfId="0" applyFont="1" applyFill="1" applyBorder="1"/>
    <xf numFmtId="0" fontId="5" fillId="11" borderId="0" xfId="0" applyFont="1" applyFill="1"/>
    <xf numFmtId="0" fontId="5" fillId="11" borderId="0" xfId="0" applyFont="1" applyFill="1" applyBorder="1" applyAlignment="1">
      <alignment horizontal="center"/>
    </xf>
    <xf numFmtId="0" fontId="11" fillId="11" borderId="0" xfId="0" applyFont="1" applyFill="1" applyBorder="1" applyAlignment="1">
      <alignment horizontal="center"/>
    </xf>
    <xf numFmtId="0" fontId="5" fillId="11" borderId="0" xfId="0" applyFont="1" applyFill="1" applyAlignment="1">
      <alignment horizontal="center"/>
    </xf>
    <xf numFmtId="186" fontId="11" fillId="11" borderId="0" xfId="0" applyNumberFormat="1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0" fontId="11" fillId="11" borderId="0" xfId="0" applyNumberFormat="1" applyFont="1" applyFill="1" applyBorder="1" applyAlignment="1">
      <alignment horizontal="center"/>
    </xf>
    <xf numFmtId="0" fontId="5" fillId="12" borderId="0" xfId="0" applyFont="1" applyFill="1" applyBorder="1"/>
    <xf numFmtId="0" fontId="19" fillId="12" borderId="0" xfId="0" applyFont="1" applyFill="1" applyBorder="1" applyAlignment="1">
      <alignment horizontal="center"/>
    </xf>
    <xf numFmtId="0" fontId="5" fillId="12" borderId="10" xfId="0" applyFont="1" applyFill="1" applyBorder="1" applyAlignment="1">
      <alignment horizontal="center"/>
    </xf>
    <xf numFmtId="0" fontId="0" fillId="12" borderId="10" xfId="0" applyFill="1" applyBorder="1"/>
    <xf numFmtId="0" fontId="5" fillId="0" borderId="10" xfId="0" applyFon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19" fillId="12" borderId="0" xfId="0" applyFont="1" applyFill="1" applyBorder="1"/>
    <xf numFmtId="0" fontId="7" fillId="0" borderId="1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0" borderId="0" xfId="0" applyFill="1" applyBorder="1" applyAlignment="1"/>
    <xf numFmtId="0" fontId="0" fillId="0" borderId="10" xfId="0" applyBorder="1" applyAlignment="1"/>
    <xf numFmtId="0" fontId="5" fillId="7" borderId="0" xfId="0" applyFont="1" applyFill="1" applyBorder="1"/>
    <xf numFmtId="0" fontId="5" fillId="7" borderId="0" xfId="0" applyFont="1" applyFill="1"/>
    <xf numFmtId="0" fontId="10" fillId="3" borderId="0" xfId="0" applyFont="1" applyFill="1"/>
    <xf numFmtId="0" fontId="13" fillId="0" borderId="0" xfId="0" applyFont="1" applyFill="1" applyBorder="1" applyAlignment="1">
      <alignment horizontal="center"/>
    </xf>
    <xf numFmtId="1" fontId="5" fillId="11" borderId="0" xfId="0" applyNumberFormat="1" applyFont="1" applyFill="1" applyAlignment="1">
      <alignment horizontal="center"/>
    </xf>
    <xf numFmtId="0" fontId="11" fillId="11" borderId="0" xfId="0" applyNumberFormat="1" applyFont="1" applyFill="1" applyBorder="1" applyAlignment="1">
      <alignment horizontal="left"/>
    </xf>
    <xf numFmtId="1" fontId="27" fillId="11" borderId="0" xfId="0" applyNumberFormat="1" applyFont="1" applyFill="1" applyBorder="1" applyAlignment="1">
      <alignment horizontal="center"/>
    </xf>
    <xf numFmtId="0" fontId="27" fillId="11" borderId="0" xfId="0" applyFont="1" applyFill="1" applyAlignment="1">
      <alignment horizontal="center"/>
    </xf>
    <xf numFmtId="2" fontId="5" fillId="11" borderId="0" xfId="0" applyNumberFormat="1" applyFont="1" applyFill="1" applyAlignment="1">
      <alignment horizontal="center"/>
    </xf>
    <xf numFmtId="190" fontId="11" fillId="11" borderId="0" xfId="0" applyNumberFormat="1" applyFont="1" applyFill="1" applyBorder="1" applyAlignment="1">
      <alignment horizontal="center"/>
    </xf>
    <xf numFmtId="1" fontId="0" fillId="0" borderId="0" xfId="0" applyNumberFormat="1" applyFill="1" applyAlignment="1">
      <alignment horizontal="center"/>
    </xf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9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250000000000001"/>
          <c:y val="5.5350653235004245E-2"/>
          <c:w val="0.79062500000000002"/>
          <c:h val="0.73800870980005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DailyO!$L$1</c:f>
              <c:strCache>
                <c:ptCount val="1"/>
                <c:pt idx="0">
                  <c:v>MSNN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DailyO!$H$2:$H$300</c:f>
              <c:numCache>
                <c:formatCode>0</c:formatCode>
                <c:ptCount val="2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DailyO!$L$2:$L$307</c:f>
              <c:numCache>
                <c:formatCode>0.0</c:formatCode>
                <c:ptCount val="30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1.5732647814910026</c:v>
                </c:pt>
                <c:pt idx="4">
                  <c:v>2.1542416452442161</c:v>
                </c:pt>
                <c:pt idx="5">
                  <c:v>2.6452442159383036</c:v>
                </c:pt>
                <c:pt idx="6">
                  <c:v>3.1722365038560412</c:v>
                </c:pt>
                <c:pt idx="7">
                  <c:v>3.7043701799485862</c:v>
                </c:pt>
                <c:pt idx="8">
                  <c:v>4.2377892030848328</c:v>
                </c:pt>
                <c:pt idx="9">
                  <c:v>4.7544987146529563</c:v>
                </c:pt>
                <c:pt idx="10">
                  <c:v>5.2917737789203088</c:v>
                </c:pt>
                <c:pt idx="11">
                  <c:v>5.8187660668380463</c:v>
                </c:pt>
                <c:pt idx="12">
                  <c:v>6.3843187660668379</c:v>
                </c:pt>
                <c:pt idx="13">
                  <c:v>6.9267352185089974</c:v>
                </c:pt>
                <c:pt idx="14">
                  <c:v>7.466580976863753</c:v>
                </c:pt>
                <c:pt idx="15">
                  <c:v>7.9910025706940875</c:v>
                </c:pt>
                <c:pt idx="16">
                  <c:v>8.5359897172236501</c:v>
                </c:pt>
                <c:pt idx="17">
                  <c:v>9.0989717223650377</c:v>
                </c:pt>
                <c:pt idx="18">
                  <c:v>9.6285347043701783</c:v>
                </c:pt>
                <c:pt idx="19">
                  <c:v>10.181233933161952</c:v>
                </c:pt>
                <c:pt idx="20">
                  <c:v>10.718508997429304</c:v>
                </c:pt>
                <c:pt idx="21">
                  <c:v>11.250642673521849</c:v>
                </c:pt>
                <c:pt idx="22">
                  <c:v>11.775064267352183</c:v>
                </c:pt>
                <c:pt idx="23">
                  <c:v>12.304627249357324</c:v>
                </c:pt>
                <c:pt idx="24">
                  <c:v>12.865038560411309</c:v>
                </c:pt>
                <c:pt idx="25">
                  <c:v>13.420308483290485</c:v>
                </c:pt>
                <c:pt idx="26">
                  <c:v>13.984575835475574</c:v>
                </c:pt>
                <c:pt idx="27">
                  <c:v>14.573264781490998</c:v>
                </c:pt>
                <c:pt idx="28">
                  <c:v>15.215938303341899</c:v>
                </c:pt>
                <c:pt idx="29">
                  <c:v>15.812339331619533</c:v>
                </c:pt>
                <c:pt idx="30">
                  <c:v>16.429305912596398</c:v>
                </c:pt>
                <c:pt idx="31">
                  <c:v>17.015424164524418</c:v>
                </c:pt>
                <c:pt idx="32">
                  <c:v>17.532133676092542</c:v>
                </c:pt>
                <c:pt idx="33">
                  <c:v>18.056555269922875</c:v>
                </c:pt>
                <c:pt idx="34">
                  <c:v>18.591259640102823</c:v>
                </c:pt>
                <c:pt idx="35">
                  <c:v>19.043701799485856</c:v>
                </c:pt>
                <c:pt idx="36">
                  <c:v>19.534704370179945</c:v>
                </c:pt>
                <c:pt idx="37">
                  <c:v>20.071979434447297</c:v>
                </c:pt>
                <c:pt idx="38">
                  <c:v>20.598971722365036</c:v>
                </c:pt>
                <c:pt idx="39">
                  <c:v>21.115681233933159</c:v>
                </c:pt>
                <c:pt idx="40">
                  <c:v>21.652956298200511</c:v>
                </c:pt>
                <c:pt idx="41">
                  <c:v>22.205655526992285</c:v>
                </c:pt>
                <c:pt idx="42">
                  <c:v>22.721079691516707</c:v>
                </c:pt>
                <c:pt idx="43">
                  <c:v>23.268637532133674</c:v>
                </c:pt>
                <c:pt idx="44">
                  <c:v>23.803341902313623</c:v>
                </c:pt>
                <c:pt idx="45">
                  <c:v>23.803341902313623</c:v>
                </c:pt>
                <c:pt idx="46">
                  <c:v>23.803341902313623</c:v>
                </c:pt>
                <c:pt idx="47">
                  <c:v>23.803341902313623</c:v>
                </c:pt>
                <c:pt idx="48">
                  <c:v>23.803341902313623</c:v>
                </c:pt>
                <c:pt idx="49">
                  <c:v>23.803341902313623</c:v>
                </c:pt>
                <c:pt idx="50">
                  <c:v>23.803341902313623</c:v>
                </c:pt>
                <c:pt idx="51">
                  <c:v>23.803341902313623</c:v>
                </c:pt>
                <c:pt idx="52">
                  <c:v>23.803341902313623</c:v>
                </c:pt>
                <c:pt idx="53">
                  <c:v>23.803341902313623</c:v>
                </c:pt>
                <c:pt idx="54">
                  <c:v>23.803341902313623</c:v>
                </c:pt>
                <c:pt idx="55">
                  <c:v>23.803341902313623</c:v>
                </c:pt>
                <c:pt idx="56">
                  <c:v>23.803341902313623</c:v>
                </c:pt>
                <c:pt idx="57">
                  <c:v>23.803341902313623</c:v>
                </c:pt>
                <c:pt idx="58">
                  <c:v>23.803341902313623</c:v>
                </c:pt>
                <c:pt idx="59">
                  <c:v>23.803341902313623</c:v>
                </c:pt>
                <c:pt idx="60">
                  <c:v>23.803341902313623</c:v>
                </c:pt>
                <c:pt idx="61">
                  <c:v>23.803341902313623</c:v>
                </c:pt>
                <c:pt idx="62">
                  <c:v>23.803341902313623</c:v>
                </c:pt>
                <c:pt idx="63">
                  <c:v>23.803341902313623</c:v>
                </c:pt>
                <c:pt idx="64">
                  <c:v>23.803341902313623</c:v>
                </c:pt>
                <c:pt idx="65">
                  <c:v>23.803341902313623</c:v>
                </c:pt>
                <c:pt idx="66">
                  <c:v>23.803341902313623</c:v>
                </c:pt>
                <c:pt idx="67">
                  <c:v>23.803341902313623</c:v>
                </c:pt>
                <c:pt idx="68">
                  <c:v>23.803341902313623</c:v>
                </c:pt>
                <c:pt idx="69">
                  <c:v>23.803341902313623</c:v>
                </c:pt>
                <c:pt idx="70">
                  <c:v>23.803341902313623</c:v>
                </c:pt>
                <c:pt idx="71">
                  <c:v>23.803341902313623</c:v>
                </c:pt>
                <c:pt idx="72">
                  <c:v>23.803341902313623</c:v>
                </c:pt>
                <c:pt idx="73">
                  <c:v>23.803341902313623</c:v>
                </c:pt>
                <c:pt idx="74">
                  <c:v>23.803341902313623</c:v>
                </c:pt>
                <c:pt idx="75">
                  <c:v>23.803341902313623</c:v>
                </c:pt>
                <c:pt idx="76">
                  <c:v>23.803341902313623</c:v>
                </c:pt>
                <c:pt idx="77">
                  <c:v>23.803341902313623</c:v>
                </c:pt>
                <c:pt idx="78">
                  <c:v>23.803341902313623</c:v>
                </c:pt>
                <c:pt idx="79">
                  <c:v>23.803341902313623</c:v>
                </c:pt>
                <c:pt idx="80">
                  <c:v>23.803341902313623</c:v>
                </c:pt>
                <c:pt idx="81">
                  <c:v>23.803341902313623</c:v>
                </c:pt>
                <c:pt idx="82">
                  <c:v>23.803341902313623</c:v>
                </c:pt>
                <c:pt idx="83">
                  <c:v>23.803341902313623</c:v>
                </c:pt>
                <c:pt idx="84">
                  <c:v>23.803341902313623</c:v>
                </c:pt>
                <c:pt idx="85">
                  <c:v>23.803341902313623</c:v>
                </c:pt>
                <c:pt idx="86">
                  <c:v>23.803341902313623</c:v>
                </c:pt>
                <c:pt idx="87">
                  <c:v>23.803341902313623</c:v>
                </c:pt>
                <c:pt idx="88">
                  <c:v>23.803341902313623</c:v>
                </c:pt>
                <c:pt idx="89">
                  <c:v>23.803341902313623</c:v>
                </c:pt>
                <c:pt idx="90">
                  <c:v>23.803341902313623</c:v>
                </c:pt>
                <c:pt idx="91">
                  <c:v>23.803341902313623</c:v>
                </c:pt>
                <c:pt idx="92">
                  <c:v>23.803341902313623</c:v>
                </c:pt>
                <c:pt idx="93">
                  <c:v>23.803341902313623</c:v>
                </c:pt>
                <c:pt idx="94">
                  <c:v>23.803341902313623</c:v>
                </c:pt>
                <c:pt idx="95">
                  <c:v>23.803341902313623</c:v>
                </c:pt>
                <c:pt idx="96">
                  <c:v>23.803341902313623</c:v>
                </c:pt>
                <c:pt idx="97">
                  <c:v>23.803341902313623</c:v>
                </c:pt>
                <c:pt idx="98">
                  <c:v>23.803341902313623</c:v>
                </c:pt>
                <c:pt idx="99">
                  <c:v>23.803341902313623</c:v>
                </c:pt>
                <c:pt idx="100">
                  <c:v>23.803341902313623</c:v>
                </c:pt>
                <c:pt idx="101">
                  <c:v>23.803341902313623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F-43B9-B770-2F667ED36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452143"/>
        <c:axId val="1"/>
      </c:scatterChart>
      <c:valAx>
        <c:axId val="11574521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875000000000004"/>
              <c:y val="0.89299047951109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MSNN</a:t>
                </a:r>
              </a:p>
            </c:rich>
          </c:tx>
          <c:layout>
            <c:manualLayout>
              <c:xMode val="edge"/>
              <c:yMode val="edge"/>
              <c:x val="2.8125000000000001E-2"/>
              <c:y val="0.383764612449274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745214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9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08077124292029"/>
          <c:y val="5.4945251492572018E-2"/>
          <c:w val="0.78260988240289331"/>
          <c:h val="0.7399293867666365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DailyO!$O$1</c:f>
              <c:strCache>
                <c:ptCount val="1"/>
                <c:pt idx="0">
                  <c:v>LAI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DailyO!$H$2:$H$299</c:f>
              <c:numCache>
                <c:formatCode>0</c:formatCode>
                <c:ptCount val="2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DailyO!$O$2:$O$299</c:f>
              <c:numCache>
                <c:formatCode>0.00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2.6219226436817594E-3</c:v>
                </c:pt>
                <c:pt idx="5">
                  <c:v>6.5522123481923092E-3</c:v>
                </c:pt>
                <c:pt idx="6">
                  <c:v>1.1919334878417337E-2</c:v>
                </c:pt>
                <c:pt idx="7">
                  <c:v>2.0238697717123492E-2</c:v>
                </c:pt>
                <c:pt idx="8">
                  <c:v>3.1801761180359565E-2</c:v>
                </c:pt>
                <c:pt idx="9">
                  <c:v>4.70667060749628E-2</c:v>
                </c:pt>
                <c:pt idx="10">
                  <c:v>6.5814779078768149E-2</c:v>
                </c:pt>
                <c:pt idx="11">
                  <c:v>8.9913333050720398E-2</c:v>
                </c:pt>
                <c:pt idx="12">
                  <c:v>0.11857029212016887</c:v>
                </c:pt>
                <c:pt idx="13">
                  <c:v>0.15537135407571684</c:v>
                </c:pt>
                <c:pt idx="14">
                  <c:v>0.19704928002540872</c:v>
                </c:pt>
                <c:pt idx="15">
                  <c:v>0.24522133984702857</c:v>
                </c:pt>
                <c:pt idx="16">
                  <c:v>0.29885992846528436</c:v>
                </c:pt>
                <c:pt idx="17">
                  <c:v>0.3622158238743815</c:v>
                </c:pt>
                <c:pt idx="18">
                  <c:v>0.43631790498058604</c:v>
                </c:pt>
                <c:pt idx="19">
                  <c:v>0.51451614933157774</c:v>
                </c:pt>
                <c:pt idx="20">
                  <c:v>0.60539675840765927</c:v>
                </c:pt>
                <c:pt idx="21">
                  <c:v>0.70327623551016893</c:v>
                </c:pt>
                <c:pt idx="22">
                  <c:v>0.80993381481330839</c:v>
                </c:pt>
                <c:pt idx="23">
                  <c:v>0.92493232605860065</c:v>
                </c:pt>
                <c:pt idx="24">
                  <c:v>1.0514447392896491</c:v>
                </c:pt>
                <c:pt idx="25">
                  <c:v>1.1971675574283704</c:v>
                </c:pt>
                <c:pt idx="26">
                  <c:v>1.3540502807505781</c:v>
                </c:pt>
                <c:pt idx="27">
                  <c:v>1.5267245241382885</c:v>
                </c:pt>
                <c:pt idx="28">
                  <c:v>1.7216587112651389</c:v>
                </c:pt>
                <c:pt idx="29">
                  <c:v>1.9523822344076223</c:v>
                </c:pt>
                <c:pt idx="30">
                  <c:v>2.1838587214190004</c:v>
                </c:pt>
                <c:pt idx="31">
                  <c:v>2.4415617699022123</c:v>
                </c:pt>
                <c:pt idx="32">
                  <c:v>2.7041599552823969</c:v>
                </c:pt>
                <c:pt idx="33">
                  <c:v>2.9504874711293398</c:v>
                </c:pt>
                <c:pt idx="34">
                  <c:v>3.2151114828275813</c:v>
                </c:pt>
                <c:pt idx="35">
                  <c:v>3.5005032491830477</c:v>
                </c:pt>
                <c:pt idx="36">
                  <c:v>3.7545879918011571</c:v>
                </c:pt>
                <c:pt idx="37">
                  <c:v>4.0437123133824411</c:v>
                </c:pt>
                <c:pt idx="38">
                  <c:v>4.3764244581137222</c:v>
                </c:pt>
                <c:pt idx="39">
                  <c:v>4.7197593475046862</c:v>
                </c:pt>
                <c:pt idx="40">
                  <c:v>5.0731237967180842</c:v>
                </c:pt>
                <c:pt idx="41">
                  <c:v>5.4585289449009773</c:v>
                </c:pt>
                <c:pt idx="42">
                  <c:v>5.8745651296544432</c:v>
                </c:pt>
                <c:pt idx="43">
                  <c:v>6.2808279054614822</c:v>
                </c:pt>
                <c:pt idx="44">
                  <c:v>6.7321785089237398</c:v>
                </c:pt>
                <c:pt idx="45">
                  <c:v>7.1930002548480552</c:v>
                </c:pt>
                <c:pt idx="46">
                  <c:v>7.2883117646806328</c:v>
                </c:pt>
                <c:pt idx="47">
                  <c:v>7.3295187599223679</c:v>
                </c:pt>
                <c:pt idx="48">
                  <c:v>7.3665599717771393</c:v>
                </c:pt>
                <c:pt idx="49">
                  <c:v>7.4127390368276886</c:v>
                </c:pt>
                <c:pt idx="50">
                  <c:v>7.4503496787167496</c:v>
                </c:pt>
                <c:pt idx="51">
                  <c:v>7.4790236420080731</c:v>
                </c:pt>
                <c:pt idx="52">
                  <c:v>7.5246948869640491</c:v>
                </c:pt>
                <c:pt idx="53">
                  <c:v>7.566538008834935</c:v>
                </c:pt>
                <c:pt idx="54">
                  <c:v>7.566538008834935</c:v>
                </c:pt>
                <c:pt idx="55">
                  <c:v>7.566538008834935</c:v>
                </c:pt>
                <c:pt idx="56">
                  <c:v>7.566538008834935</c:v>
                </c:pt>
                <c:pt idx="57">
                  <c:v>7.566538008834935</c:v>
                </c:pt>
                <c:pt idx="58">
                  <c:v>7.566538008834935</c:v>
                </c:pt>
                <c:pt idx="59">
                  <c:v>7.566538008834935</c:v>
                </c:pt>
                <c:pt idx="60">
                  <c:v>7.566538008834935</c:v>
                </c:pt>
                <c:pt idx="61">
                  <c:v>7.566538008834935</c:v>
                </c:pt>
                <c:pt idx="62">
                  <c:v>7.566538008834935</c:v>
                </c:pt>
                <c:pt idx="63">
                  <c:v>7.566538008834935</c:v>
                </c:pt>
                <c:pt idx="64">
                  <c:v>7.5535452878804294</c:v>
                </c:pt>
                <c:pt idx="65">
                  <c:v>7.5495867382419046</c:v>
                </c:pt>
                <c:pt idx="66">
                  <c:v>7.5295573029571976</c:v>
                </c:pt>
                <c:pt idx="67">
                  <c:v>7.4727867073431318</c:v>
                </c:pt>
                <c:pt idx="68">
                  <c:v>7.4099611954399558</c:v>
                </c:pt>
                <c:pt idx="69">
                  <c:v>7.329371542927543</c:v>
                </c:pt>
                <c:pt idx="70">
                  <c:v>7.2314748469366164</c:v>
                </c:pt>
                <c:pt idx="71">
                  <c:v>7.0620780975534103</c:v>
                </c:pt>
                <c:pt idx="72">
                  <c:v>6.9594584654634355</c:v>
                </c:pt>
                <c:pt idx="73">
                  <c:v>6.7646484874492803</c:v>
                </c:pt>
                <c:pt idx="74">
                  <c:v>6.6050931725841657</c:v>
                </c:pt>
                <c:pt idx="75">
                  <c:v>6.4227151439583983</c:v>
                </c:pt>
                <c:pt idx="76">
                  <c:v>6.2119769836390555</c:v>
                </c:pt>
                <c:pt idx="77">
                  <c:v>6.0052372076323142</c:v>
                </c:pt>
                <c:pt idx="78">
                  <c:v>5.7986424025612777</c:v>
                </c:pt>
                <c:pt idx="79">
                  <c:v>5.5851113648529669</c:v>
                </c:pt>
                <c:pt idx="80">
                  <c:v>5.3525274129213596</c:v>
                </c:pt>
                <c:pt idx="81">
                  <c:v>5.1227994285186851</c:v>
                </c:pt>
                <c:pt idx="82">
                  <c:v>4.8630520207135115</c:v>
                </c:pt>
                <c:pt idx="83">
                  <c:v>4.5915560785845662</c:v>
                </c:pt>
                <c:pt idx="84">
                  <c:v>4.3425235863464167</c:v>
                </c:pt>
                <c:pt idx="85">
                  <c:v>4.1221023752838599</c:v>
                </c:pt>
                <c:pt idx="86">
                  <c:v>3.8589480702895766</c:v>
                </c:pt>
                <c:pt idx="87">
                  <c:v>3.6016224107973236</c:v>
                </c:pt>
                <c:pt idx="88">
                  <c:v>3.3767775404787148</c:v>
                </c:pt>
                <c:pt idx="89">
                  <c:v>3.1677702599221993</c:v>
                </c:pt>
                <c:pt idx="90">
                  <c:v>3.1677702599221993</c:v>
                </c:pt>
                <c:pt idx="91">
                  <c:v>3.1677702599221993</c:v>
                </c:pt>
                <c:pt idx="92">
                  <c:v>3.1677702599221993</c:v>
                </c:pt>
                <c:pt idx="93">
                  <c:v>3.1677702599221993</c:v>
                </c:pt>
                <c:pt idx="94">
                  <c:v>3.1677702599221993</c:v>
                </c:pt>
                <c:pt idx="95">
                  <c:v>3.1677702599221993</c:v>
                </c:pt>
                <c:pt idx="96">
                  <c:v>3.1677702599221993</c:v>
                </c:pt>
                <c:pt idx="97">
                  <c:v>3.1677702599221993</c:v>
                </c:pt>
                <c:pt idx="98">
                  <c:v>3.1677702599221993</c:v>
                </c:pt>
                <c:pt idx="99">
                  <c:v>3.1677702599221993</c:v>
                </c:pt>
                <c:pt idx="100">
                  <c:v>3.1677702599221993</c:v>
                </c:pt>
                <c:pt idx="101">
                  <c:v>3.1677702599221993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08-4543-B8E2-FFF59A517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451663"/>
        <c:axId val="1"/>
      </c:scatterChart>
      <c:valAx>
        <c:axId val="11574516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2484537258929587"/>
              <c:y val="0.893775970311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0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LAI</a:t>
                </a:r>
              </a:p>
            </c:rich>
          </c:tx>
          <c:layout>
            <c:manualLayout>
              <c:xMode val="edge"/>
              <c:yMode val="edge"/>
              <c:x val="2.7950310559006212E-2"/>
              <c:y val="0.388279926547643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7451663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400429048536115"/>
          <c:y val="5.4744623105010951E-2"/>
          <c:w val="0.76367389060887514"/>
          <c:h val="0.74087723268781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DailyO!$Z$1</c:f>
              <c:strCache>
                <c:ptCount val="1"/>
                <c:pt idx="0">
                  <c:v>WTOP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DailyO!$Z$2:$Z$307</c:f>
              <c:numCache>
                <c:formatCode>0</c:formatCode>
                <c:ptCount val="30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1.0723584754599937</c:v>
                </c:pt>
                <c:pt idx="5">
                  <c:v>1.2351725901290636</c:v>
                </c:pt>
                <c:pt idx="6">
                  <c:v>1.5500317101375389</c:v>
                </c:pt>
                <c:pt idx="7">
                  <c:v>2.0934618127415683</c:v>
                </c:pt>
                <c:pt idx="8">
                  <c:v>2.9031449114703554</c:v>
                </c:pt>
                <c:pt idx="9">
                  <c:v>4.3112109418015558</c:v>
                </c:pt>
                <c:pt idx="10">
                  <c:v>5.9569379630382553</c:v>
                </c:pt>
                <c:pt idx="11">
                  <c:v>7.4392236516071799</c:v>
                </c:pt>
                <c:pt idx="12">
                  <c:v>9.9196031701624143</c:v>
                </c:pt>
                <c:pt idx="13">
                  <c:v>13.463605515304931</c:v>
                </c:pt>
                <c:pt idx="14">
                  <c:v>17.004205631212344</c:v>
                </c:pt>
                <c:pt idx="15">
                  <c:v>22.819631124740759</c:v>
                </c:pt>
                <c:pt idx="16">
                  <c:v>29.024812311405732</c:v>
                </c:pt>
                <c:pt idx="17">
                  <c:v>36.638197334066376</c:v>
                </c:pt>
                <c:pt idx="18">
                  <c:v>47.395433157350197</c:v>
                </c:pt>
                <c:pt idx="19">
                  <c:v>58.23853489847528</c:v>
                </c:pt>
                <c:pt idx="20">
                  <c:v>67.500177224985549</c:v>
                </c:pt>
                <c:pt idx="21">
                  <c:v>79.298090307217436</c:v>
                </c:pt>
                <c:pt idx="22">
                  <c:v>95.851601421964503</c:v>
                </c:pt>
                <c:pt idx="23">
                  <c:v>111.37837326702434</c:v>
                </c:pt>
                <c:pt idx="24">
                  <c:v>132.28653320205362</c:v>
                </c:pt>
                <c:pt idx="25">
                  <c:v>154.92729061906314</c:v>
                </c:pt>
                <c:pt idx="26">
                  <c:v>176.70003289375697</c:v>
                </c:pt>
                <c:pt idx="27">
                  <c:v>200.5855549363863</c:v>
                </c:pt>
                <c:pt idx="28">
                  <c:v>224.49824270026014</c:v>
                </c:pt>
                <c:pt idx="29">
                  <c:v>247.33700997460568</c:v>
                </c:pt>
                <c:pt idx="30">
                  <c:v>267.4572708786921</c:v>
                </c:pt>
                <c:pt idx="31">
                  <c:v>292.25915005246873</c:v>
                </c:pt>
                <c:pt idx="32">
                  <c:v>307.90011429602293</c:v>
                </c:pt>
                <c:pt idx="33">
                  <c:v>331.17864949160213</c:v>
                </c:pt>
                <c:pt idx="34">
                  <c:v>340.22496680050699</c:v>
                </c:pt>
                <c:pt idx="35">
                  <c:v>349.95557984824791</c:v>
                </c:pt>
                <c:pt idx="36">
                  <c:v>362.88495806560167</c:v>
                </c:pt>
                <c:pt idx="37">
                  <c:v>389.22743043122091</c:v>
                </c:pt>
                <c:pt idx="38">
                  <c:v>415.72031843419228</c:v>
                </c:pt>
                <c:pt idx="39">
                  <c:v>453.50722709162085</c:v>
                </c:pt>
                <c:pt idx="40">
                  <c:v>488.22610152165942</c:v>
                </c:pt>
                <c:pt idx="41">
                  <c:v>531.22433960336468</c:v>
                </c:pt>
                <c:pt idx="42">
                  <c:v>577.36771746806198</c:v>
                </c:pt>
                <c:pt idx="43">
                  <c:v>614.95152430999781</c:v>
                </c:pt>
                <c:pt idx="44">
                  <c:v>643.83380001683952</c:v>
                </c:pt>
                <c:pt idx="45">
                  <c:v>681.29470478205326</c:v>
                </c:pt>
                <c:pt idx="46">
                  <c:v>714.96853374093666</c:v>
                </c:pt>
                <c:pt idx="47">
                  <c:v>756.94950196870877</c:v>
                </c:pt>
                <c:pt idx="48">
                  <c:v>791.14099459512761</c:v>
                </c:pt>
                <c:pt idx="49">
                  <c:v>817.20823395087655</c:v>
                </c:pt>
                <c:pt idx="50">
                  <c:v>858.72754754721859</c:v>
                </c:pt>
                <c:pt idx="51">
                  <c:v>896.76674924802387</c:v>
                </c:pt>
                <c:pt idx="52">
                  <c:v>925.67878721356499</c:v>
                </c:pt>
                <c:pt idx="53">
                  <c:v>965.4021955098973</c:v>
                </c:pt>
                <c:pt idx="54">
                  <c:v>1006.62146436969</c:v>
                </c:pt>
                <c:pt idx="55">
                  <c:v>1042.522117892735</c:v>
                </c:pt>
                <c:pt idx="56">
                  <c:v>1074.1013964546728</c:v>
                </c:pt>
                <c:pt idx="57">
                  <c:v>1110.334463436265</c:v>
                </c:pt>
                <c:pt idx="58">
                  <c:v>1144.7392563958499</c:v>
                </c:pt>
                <c:pt idx="59">
                  <c:v>1171.9971599966805</c:v>
                </c:pt>
                <c:pt idx="60">
                  <c:v>1197.56418713837</c:v>
                </c:pt>
                <c:pt idx="61">
                  <c:v>1232.3013935565016</c:v>
                </c:pt>
                <c:pt idx="62">
                  <c:v>1254.5730952791314</c:v>
                </c:pt>
                <c:pt idx="63">
                  <c:v>1278.8392777530412</c:v>
                </c:pt>
                <c:pt idx="64">
                  <c:v>1306.4272651166625</c:v>
                </c:pt>
                <c:pt idx="65">
                  <c:v>1338.1692489963384</c:v>
                </c:pt>
                <c:pt idx="66">
                  <c:v>1367.0822190746308</c:v>
                </c:pt>
                <c:pt idx="67">
                  <c:v>1397.146855803486</c:v>
                </c:pt>
                <c:pt idx="68">
                  <c:v>1431.0169944023073</c:v>
                </c:pt>
                <c:pt idx="69">
                  <c:v>1453.4178816495064</c:v>
                </c:pt>
                <c:pt idx="70">
                  <c:v>1495.2521990216239</c:v>
                </c:pt>
                <c:pt idx="71">
                  <c:v>1525.3864579904944</c:v>
                </c:pt>
                <c:pt idx="72">
                  <c:v>1533.6573935387451</c:v>
                </c:pt>
                <c:pt idx="73">
                  <c:v>1552.3135414015048</c:v>
                </c:pt>
                <c:pt idx="74">
                  <c:v>1582.9676747809867</c:v>
                </c:pt>
                <c:pt idx="75">
                  <c:v>1608.7844336741059</c:v>
                </c:pt>
                <c:pt idx="76">
                  <c:v>1632.2304056110584</c:v>
                </c:pt>
                <c:pt idx="77">
                  <c:v>1656.7440080815813</c:v>
                </c:pt>
                <c:pt idx="78">
                  <c:v>1687.0285536311956</c:v>
                </c:pt>
                <c:pt idx="79">
                  <c:v>1713.777052304539</c:v>
                </c:pt>
                <c:pt idx="80">
                  <c:v>1749.7314231553064</c:v>
                </c:pt>
                <c:pt idx="81">
                  <c:v>1787.2252174134908</c:v>
                </c:pt>
                <c:pt idx="82">
                  <c:v>1814.0773102117241</c:v>
                </c:pt>
                <c:pt idx="83">
                  <c:v>1829.660733575121</c:v>
                </c:pt>
                <c:pt idx="84">
                  <c:v>1858.6140799059522</c:v>
                </c:pt>
                <c:pt idx="85">
                  <c:v>1883.8431861824279</c:v>
                </c:pt>
                <c:pt idx="86">
                  <c:v>1897.3189787871997</c:v>
                </c:pt>
                <c:pt idx="87">
                  <c:v>1905.5875618572036</c:v>
                </c:pt>
                <c:pt idx="88">
                  <c:v>1905.5875618572036</c:v>
                </c:pt>
                <c:pt idx="89">
                  <c:v>1905.5875618572036</c:v>
                </c:pt>
                <c:pt idx="90">
                  <c:v>1905.5875618572036</c:v>
                </c:pt>
                <c:pt idx="91">
                  <c:v>1905.5875618572036</c:v>
                </c:pt>
                <c:pt idx="92">
                  <c:v>1905.5875618572036</c:v>
                </c:pt>
                <c:pt idx="93">
                  <c:v>1905.5875618572036</c:v>
                </c:pt>
                <c:pt idx="94">
                  <c:v>1905.5875618572036</c:v>
                </c:pt>
                <c:pt idx="95">
                  <c:v>1905.5875618572036</c:v>
                </c:pt>
                <c:pt idx="96">
                  <c:v>1905.5875618572036</c:v>
                </c:pt>
                <c:pt idx="97">
                  <c:v>1905.5875618572036</c:v>
                </c:pt>
                <c:pt idx="98">
                  <c:v>1905.5875618572036</c:v>
                </c:pt>
                <c:pt idx="99">
                  <c:v>1905.5875618572036</c:v>
                </c:pt>
                <c:pt idx="100">
                  <c:v>1905.5875618572036</c:v>
                </c:pt>
                <c:pt idx="101">
                  <c:v>1905.5875618572036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12-4B6A-9D73-5137903B6B05}"/>
            </c:ext>
          </c:extLst>
        </c:ser>
        <c:ser>
          <c:idx val="3"/>
          <c:order val="1"/>
          <c:tx>
            <c:strRef>
              <c:f>DailyO!$Y$1</c:f>
              <c:strCache>
                <c:ptCount val="1"/>
                <c:pt idx="0">
                  <c:v>WGRN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DailyO!$Y$2:$Y$307</c:f>
              <c:numCache>
                <c:formatCode>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14.481032932648459</c:v>
                </c:pt>
                <c:pt idx="54">
                  <c:v>30.198643931090693</c:v>
                </c:pt>
                <c:pt idx="55">
                  <c:v>46.913495305173072</c:v>
                </c:pt>
                <c:pt idx="56">
                  <c:v>64.446083787280372</c:v>
                </c:pt>
                <c:pt idx="57">
                  <c:v>83.275084757719853</c:v>
                </c:pt>
                <c:pt idx="58">
                  <c:v>103.02653307562647</c:v>
                </c:pt>
                <c:pt idx="59">
                  <c:v>123.05970179965144</c:v>
                </c:pt>
                <c:pt idx="60">
                  <c:v>143.70770245660441</c:v>
                </c:pt>
                <c:pt idx="61">
                  <c:v>166.36068813012773</c:v>
                </c:pt>
                <c:pt idx="62">
                  <c:v>188.18596429186974</c:v>
                </c:pt>
                <c:pt idx="63">
                  <c:v>211.00848082925188</c:v>
                </c:pt>
                <c:pt idx="64">
                  <c:v>235.15690772099933</c:v>
                </c:pt>
                <c:pt idx="65">
                  <c:v>260.94300355428607</c:v>
                </c:pt>
                <c:pt idx="66">
                  <c:v>287.08726600567246</c:v>
                </c:pt>
                <c:pt idx="67">
                  <c:v>314.35804255578432</c:v>
                </c:pt>
                <c:pt idx="68">
                  <c:v>343.44407865655376</c:v>
                </c:pt>
                <c:pt idx="69">
                  <c:v>370.6215598206241</c:v>
                </c:pt>
                <c:pt idx="70">
                  <c:v>403.71809373583847</c:v>
                </c:pt>
                <c:pt idx="71">
                  <c:v>434.73514052729092</c:v>
                </c:pt>
                <c:pt idx="72">
                  <c:v>460.09721806162355</c:v>
                </c:pt>
                <c:pt idx="73">
                  <c:v>488.97876554147405</c:v>
                </c:pt>
                <c:pt idx="74">
                  <c:v>522.37933267772576</c:v>
                </c:pt>
                <c:pt idx="75">
                  <c:v>555.03062961756666</c:v>
                </c:pt>
                <c:pt idx="76">
                  <c:v>587.602946019981</c:v>
                </c:pt>
                <c:pt idx="77">
                  <c:v>621.27900303059312</c:v>
                </c:pt>
                <c:pt idx="78">
                  <c:v>657.94113591616633</c:v>
                </c:pt>
                <c:pt idx="79">
                  <c:v>694.07970618333832</c:v>
                </c:pt>
                <c:pt idx="80">
                  <c:v>734.8871977252287</c:v>
                </c:pt>
                <c:pt idx="81">
                  <c:v>777.44296957486858</c:v>
                </c:pt>
                <c:pt idx="82">
                  <c:v>816.33478959527588</c:v>
                </c:pt>
                <c:pt idx="83">
                  <c:v>850.79224111243127</c:v>
                </c:pt>
                <c:pt idx="84">
                  <c:v>892.1347583548569</c:v>
                </c:pt>
                <c:pt idx="85">
                  <c:v>932.50237716030165</c:v>
                </c:pt>
                <c:pt idx="86">
                  <c:v>967.63267918147176</c:v>
                </c:pt>
                <c:pt idx="87">
                  <c:v>1000.4334699750317</c:v>
                </c:pt>
                <c:pt idx="88">
                  <c:v>1000.4334699750317</c:v>
                </c:pt>
                <c:pt idx="89">
                  <c:v>1000.4334699750317</c:v>
                </c:pt>
                <c:pt idx="90">
                  <c:v>1000.4334699750317</c:v>
                </c:pt>
                <c:pt idx="91">
                  <c:v>1000.4334699750317</c:v>
                </c:pt>
                <c:pt idx="92">
                  <c:v>1000.4334699750317</c:v>
                </c:pt>
                <c:pt idx="93">
                  <c:v>1000.4334699750317</c:v>
                </c:pt>
                <c:pt idx="94">
                  <c:v>1000.4334699750317</c:v>
                </c:pt>
                <c:pt idx="95">
                  <c:v>1000.4334699750317</c:v>
                </c:pt>
                <c:pt idx="96">
                  <c:v>1000.4334699750317</c:v>
                </c:pt>
                <c:pt idx="97">
                  <c:v>1000.4334699750317</c:v>
                </c:pt>
                <c:pt idx="98">
                  <c:v>1000.4334699750317</c:v>
                </c:pt>
                <c:pt idx="99">
                  <c:v>1000.4334699750317</c:v>
                </c:pt>
                <c:pt idx="100">
                  <c:v>1000.4334699750317</c:v>
                </c:pt>
                <c:pt idx="101">
                  <c:v>1000.4334699750317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12-4B6A-9D73-5137903B6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449263"/>
        <c:axId val="1"/>
      </c:scatterChart>
      <c:valAx>
        <c:axId val="11574492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2012383900928794"/>
              <c:y val="0.894162116596739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Crop top / grain dry matter </a:t>
                </a:r>
              </a:p>
            </c:rich>
          </c:tx>
          <c:layout>
            <c:manualLayout>
              <c:xMode val="edge"/>
              <c:yMode val="edge"/>
              <c:x val="7.2239422084623322E-3"/>
              <c:y val="0.145672739812632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744926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923102348410979"/>
          <c:y val="5.4348018384915597E-2"/>
          <c:w val="0.78461656342632724"/>
          <c:h val="0.7427562512605131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DailyO!$AJ$1</c:f>
              <c:strCache>
                <c:ptCount val="1"/>
                <c:pt idx="0">
                  <c:v>FTSWRZ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DailyO!$AJ$2:$AJ$307</c:f>
              <c:numCache>
                <c:formatCode>0.00</c:formatCode>
                <c:ptCount val="306"/>
                <c:pt idx="0">
                  <c:v>0.66269781737499378</c:v>
                </c:pt>
                <c:pt idx="1">
                  <c:v>0.57521368496448755</c:v>
                </c:pt>
                <c:pt idx="2">
                  <c:v>0.62113117883833291</c:v>
                </c:pt>
                <c:pt idx="3">
                  <c:v>0.52317090892159279</c:v>
                </c:pt>
                <c:pt idx="4">
                  <c:v>0.50052795787208537</c:v>
                </c:pt>
                <c:pt idx="5">
                  <c:v>0.56679226454783926</c:v>
                </c:pt>
                <c:pt idx="6">
                  <c:v>0.55881384763363462</c:v>
                </c:pt>
                <c:pt idx="7">
                  <c:v>0.55330526248002809</c:v>
                </c:pt>
                <c:pt idx="8">
                  <c:v>0.55101179060479644</c:v>
                </c:pt>
                <c:pt idx="9">
                  <c:v>0.54549165598676086</c:v>
                </c:pt>
                <c:pt idx="10">
                  <c:v>0.54142664485587</c:v>
                </c:pt>
                <c:pt idx="11">
                  <c:v>0.54934805074267534</c:v>
                </c:pt>
                <c:pt idx="12">
                  <c:v>0.5477198407602939</c:v>
                </c:pt>
                <c:pt idx="13">
                  <c:v>0.54821070311755815</c:v>
                </c:pt>
                <c:pt idx="14">
                  <c:v>0.55967997579643114</c:v>
                </c:pt>
                <c:pt idx="15">
                  <c:v>0.5593502455138214</c:v>
                </c:pt>
                <c:pt idx="16">
                  <c:v>0.55356447958972832</c:v>
                </c:pt>
                <c:pt idx="17">
                  <c:v>0.54489286699025163</c:v>
                </c:pt>
                <c:pt idx="18">
                  <c:v>0.52632266965207986</c:v>
                </c:pt>
                <c:pt idx="19">
                  <c:v>0.50410722539900887</c:v>
                </c:pt>
                <c:pt idx="20">
                  <c:v>0.48494042517177544</c:v>
                </c:pt>
                <c:pt idx="21">
                  <c:v>0.88253620568099034</c:v>
                </c:pt>
                <c:pt idx="22">
                  <c:v>0.82651214603133005</c:v>
                </c:pt>
                <c:pt idx="23">
                  <c:v>0.77928412139320291</c:v>
                </c:pt>
                <c:pt idx="24">
                  <c:v>0.7198936999785529</c:v>
                </c:pt>
                <c:pt idx="25">
                  <c:v>0.66845975983236172</c:v>
                </c:pt>
                <c:pt idx="26">
                  <c:v>0.62830242873996922</c:v>
                </c:pt>
                <c:pt idx="27">
                  <c:v>0.57185017452974851</c:v>
                </c:pt>
                <c:pt idx="28">
                  <c:v>0.49852925448228547</c:v>
                </c:pt>
                <c:pt idx="29">
                  <c:v>0.93191250263955439</c:v>
                </c:pt>
                <c:pt idx="30">
                  <c:v>0.86144261645787812</c:v>
                </c:pt>
                <c:pt idx="31">
                  <c:v>0.82568793033164434</c:v>
                </c:pt>
                <c:pt idx="32">
                  <c:v>0.88897699298246835</c:v>
                </c:pt>
                <c:pt idx="33">
                  <c:v>0.85371661226751627</c:v>
                </c:pt>
                <c:pt idx="34">
                  <c:v>0.8480712446675861</c:v>
                </c:pt>
                <c:pt idx="35">
                  <c:v>0.9417265168475204</c:v>
                </c:pt>
                <c:pt idx="36">
                  <c:v>0.92877352782969502</c:v>
                </c:pt>
                <c:pt idx="37">
                  <c:v>0.88617550613839469</c:v>
                </c:pt>
                <c:pt idx="38">
                  <c:v>0.84911073957308147</c:v>
                </c:pt>
                <c:pt idx="39">
                  <c:v>0.78518113668196909</c:v>
                </c:pt>
                <c:pt idx="40">
                  <c:v>0.72777077996437367</c:v>
                </c:pt>
                <c:pt idx="41">
                  <c:v>0.65347976662576157</c:v>
                </c:pt>
                <c:pt idx="42">
                  <c:v>0.58176769383224458</c:v>
                </c:pt>
                <c:pt idx="43">
                  <c:v>0.54769340571666147</c:v>
                </c:pt>
                <c:pt idx="44">
                  <c:v>0.50404252475232014</c:v>
                </c:pt>
                <c:pt idx="45">
                  <c:v>0.43532999831892399</c:v>
                </c:pt>
                <c:pt idx="46">
                  <c:v>0.95283168723515166</c:v>
                </c:pt>
                <c:pt idx="47">
                  <c:v>0.90001964712722049</c:v>
                </c:pt>
                <c:pt idx="48">
                  <c:v>0.85135800945772599</c:v>
                </c:pt>
                <c:pt idx="49">
                  <c:v>0.82671957697982112</c:v>
                </c:pt>
                <c:pt idx="50">
                  <c:v>0.78044550602497365</c:v>
                </c:pt>
                <c:pt idx="51">
                  <c:v>0.72158978065398127</c:v>
                </c:pt>
                <c:pt idx="52">
                  <c:v>0.66501615419167037</c:v>
                </c:pt>
                <c:pt idx="53">
                  <c:v>0.62757206073223348</c:v>
                </c:pt>
                <c:pt idx="54">
                  <c:v>0.56775691711841103</c:v>
                </c:pt>
                <c:pt idx="55">
                  <c:v>0.52580563311829565</c:v>
                </c:pt>
                <c:pt idx="56">
                  <c:v>0.50109060003017103</c:v>
                </c:pt>
                <c:pt idx="57">
                  <c:v>0.46124430774006836</c:v>
                </c:pt>
                <c:pt idx="58">
                  <c:v>0.97025315879520546</c:v>
                </c:pt>
                <c:pt idx="59">
                  <c:v>0.98901677877782235</c:v>
                </c:pt>
                <c:pt idx="60">
                  <c:v>1.1931503088293014</c:v>
                </c:pt>
                <c:pt idx="61">
                  <c:v>1.1532343919834898</c:v>
                </c:pt>
                <c:pt idx="62">
                  <c:v>1.1125719702637074</c:v>
                </c:pt>
                <c:pt idx="63">
                  <c:v>1.0671387443397382</c:v>
                </c:pt>
                <c:pt idx="64">
                  <c:v>1.0117160047566771</c:v>
                </c:pt>
                <c:pt idx="65">
                  <c:v>0.94574160919189265</c:v>
                </c:pt>
                <c:pt idx="66">
                  <c:v>0.89800515856362417</c:v>
                </c:pt>
                <c:pt idx="67">
                  <c:v>0.87301989546178493</c:v>
                </c:pt>
                <c:pt idx="68">
                  <c:v>0.84482637825694118</c:v>
                </c:pt>
                <c:pt idx="69">
                  <c:v>0.82356450674271864</c:v>
                </c:pt>
                <c:pt idx="70">
                  <c:v>0.77444531981277065</c:v>
                </c:pt>
                <c:pt idx="71">
                  <c:v>0.73703811842397315</c:v>
                </c:pt>
                <c:pt idx="72">
                  <c:v>0.73289770162204682</c:v>
                </c:pt>
                <c:pt idx="73">
                  <c:v>0.71247203645406876</c:v>
                </c:pt>
                <c:pt idx="74">
                  <c:v>0.68466639987312583</c:v>
                </c:pt>
                <c:pt idx="75">
                  <c:v>0.65985979799989802</c:v>
                </c:pt>
                <c:pt idx="76">
                  <c:v>0.65116939592517531</c:v>
                </c:pt>
                <c:pt idx="77">
                  <c:v>0.66808416780066016</c:v>
                </c:pt>
                <c:pt idx="78">
                  <c:v>0.64479840847396053</c:v>
                </c:pt>
                <c:pt idx="79">
                  <c:v>0.62486196800436733</c:v>
                </c:pt>
                <c:pt idx="80">
                  <c:v>0.59738456876698953</c:v>
                </c:pt>
                <c:pt idx="81">
                  <c:v>0.56760692360834208</c:v>
                </c:pt>
                <c:pt idx="82">
                  <c:v>0.56043440784932574</c:v>
                </c:pt>
                <c:pt idx="83">
                  <c:v>0.55004893247561359</c:v>
                </c:pt>
                <c:pt idx="84">
                  <c:v>0.51059387832790204</c:v>
                </c:pt>
                <c:pt idx="85">
                  <c:v>0.48825314322401786</c:v>
                </c:pt>
                <c:pt idx="86">
                  <c:v>0.98631788664386366</c:v>
                </c:pt>
                <c:pt idx="87">
                  <c:v>0.97871934487970624</c:v>
                </c:pt>
                <c:pt idx="88">
                  <c:v>0.9759134946646365</c:v>
                </c:pt>
                <c:pt idx="89">
                  <c:v>1.2357443657271729</c:v>
                </c:pt>
                <c:pt idx="90">
                  <c:v>1.3571064234384693</c:v>
                </c:pt>
                <c:pt idx="91">
                  <c:v>1.354006149097009</c:v>
                </c:pt>
                <c:pt idx="92">
                  <c:v>1.2986506370837001</c:v>
                </c:pt>
                <c:pt idx="93">
                  <c:v>1.2299352132874535</c:v>
                </c:pt>
                <c:pt idx="94">
                  <c:v>1.1632809087856788</c:v>
                </c:pt>
                <c:pt idx="95">
                  <c:v>1.105678764453556</c:v>
                </c:pt>
                <c:pt idx="96">
                  <c:v>1.0589034666721144</c:v>
                </c:pt>
                <c:pt idx="97">
                  <c:v>1.0220691758712273</c:v>
                </c:pt>
                <c:pt idx="98">
                  <c:v>0.99327388933434713</c:v>
                </c:pt>
                <c:pt idx="99">
                  <c:v>0.97049276411938867</c:v>
                </c:pt>
                <c:pt idx="100">
                  <c:v>0.95197528073312099</c:v>
                </c:pt>
                <c:pt idx="101">
                  <c:v>0.94948792531695336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A0-480D-B07A-7A0F7197161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Figures!$L$36:$L$37</c:f>
              <c:numCache>
                <c:formatCode>General</c:formatCode>
                <c:ptCount val="2"/>
                <c:pt idx="0">
                  <c:v>0</c:v>
                </c:pt>
                <c:pt idx="1">
                  <c:v>300</c:v>
                </c:pt>
              </c:numCache>
            </c:numRef>
          </c:xVal>
          <c:yVal>
            <c:numRef>
              <c:f>Figures!$M$36:$M$37</c:f>
              <c:numCache>
                <c:formatCode>General</c:formatCode>
                <c:ptCount val="2"/>
                <c:pt idx="0">
                  <c:v>0.4</c:v>
                </c:pt>
                <c:pt idx="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A0-480D-B07A-7A0F71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457903"/>
        <c:axId val="1"/>
      </c:scatterChart>
      <c:valAx>
        <c:axId val="1157457903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2307756915001002"/>
              <c:y val="0.8949305793297577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  <c:max val="1.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FTSWRZ</a:t>
                </a:r>
              </a:p>
            </c:rich>
          </c:tx>
          <c:layout>
            <c:manualLayout>
              <c:xMode val="edge"/>
              <c:yMode val="edge"/>
              <c:x val="2.7692307692307693E-2"/>
              <c:y val="0.340580851306630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7457903"/>
        <c:crosses val="autoZero"/>
        <c:crossBetween val="midCat"/>
        <c:majorUnit val="0.2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DailyO!$AO$1</c:f>
              <c:strCache>
                <c:ptCount val="1"/>
                <c:pt idx="0">
                  <c:v>CE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DailyO!$AO$2:$AO$307</c:f>
              <c:numCache>
                <c:formatCode>0</c:formatCode>
                <c:ptCount val="306"/>
                <c:pt idx="0">
                  <c:v>2.6773925611876255</c:v>
                </c:pt>
                <c:pt idx="1">
                  <c:v>4.3833331431924965</c:v>
                </c:pt>
                <c:pt idx="2">
                  <c:v>5.487942012652514</c:v>
                </c:pt>
                <c:pt idx="3">
                  <c:v>7.3981672760289463</c:v>
                </c:pt>
                <c:pt idx="4">
                  <c:v>9.3122468575811812</c:v>
                </c:pt>
                <c:pt idx="5">
                  <c:v>10.609428726068099</c:v>
                </c:pt>
                <c:pt idx="6">
                  <c:v>11.930131658464965</c:v>
                </c:pt>
                <c:pt idx="7">
                  <c:v>13.193541420760324</c:v>
                </c:pt>
                <c:pt idx="8">
                  <c:v>14.324485073040155</c:v>
                </c:pt>
                <c:pt idx="9">
                  <c:v>15.560852484720732</c:v>
                </c:pt>
                <c:pt idx="10">
                  <c:v>16.624559827430115</c:v>
                </c:pt>
                <c:pt idx="11">
                  <c:v>17.251255823268192</c:v>
                </c:pt>
                <c:pt idx="12">
                  <c:v>18.119754451710563</c:v>
                </c:pt>
                <c:pt idx="13">
                  <c:v>18.935417781975751</c:v>
                </c:pt>
                <c:pt idx="14">
                  <c:v>19.549530030576417</c:v>
                </c:pt>
                <c:pt idx="15">
                  <c:v>20.341534054200061</c:v>
                </c:pt>
                <c:pt idx="16">
                  <c:v>21.063577762798481</c:v>
                </c:pt>
                <c:pt idx="17">
                  <c:v>21.757317071136722</c:v>
                </c:pt>
                <c:pt idx="18">
                  <c:v>22.487599363769057</c:v>
                </c:pt>
                <c:pt idx="19">
                  <c:v>23.119829939763427</c:v>
                </c:pt>
                <c:pt idx="20">
                  <c:v>23.550277552393442</c:v>
                </c:pt>
                <c:pt idx="21">
                  <c:v>25.202711518667542</c:v>
                </c:pt>
                <c:pt idx="22">
                  <c:v>26.699345759162259</c:v>
                </c:pt>
                <c:pt idx="23">
                  <c:v>27.746421043773847</c:v>
                </c:pt>
                <c:pt idx="24">
                  <c:v>28.880412472721435</c:v>
                </c:pt>
                <c:pt idx="25">
                  <c:v>29.783338831645818</c:v>
                </c:pt>
                <c:pt idx="26">
                  <c:v>30.454376047016304</c:v>
                </c:pt>
                <c:pt idx="27">
                  <c:v>31.109699910448771</c:v>
                </c:pt>
                <c:pt idx="28">
                  <c:v>31.722765563414931</c:v>
                </c:pt>
                <c:pt idx="29">
                  <c:v>32.707140801190647</c:v>
                </c:pt>
                <c:pt idx="30">
                  <c:v>33.327690014529097</c:v>
                </c:pt>
                <c:pt idx="31">
                  <c:v>33.731191578610598</c:v>
                </c:pt>
                <c:pt idx="32">
                  <c:v>35.231191578610598</c:v>
                </c:pt>
                <c:pt idx="33">
                  <c:v>36.731191578610598</c:v>
                </c:pt>
                <c:pt idx="34">
                  <c:v>38.231191578610598</c:v>
                </c:pt>
                <c:pt idx="35">
                  <c:v>39.731191578610598</c:v>
                </c:pt>
                <c:pt idx="36">
                  <c:v>41.231191578610598</c:v>
                </c:pt>
                <c:pt idx="37">
                  <c:v>42.731191578610598</c:v>
                </c:pt>
                <c:pt idx="38">
                  <c:v>44.231191578610598</c:v>
                </c:pt>
                <c:pt idx="39">
                  <c:v>45.731191578610598</c:v>
                </c:pt>
                <c:pt idx="40">
                  <c:v>47.231191578610598</c:v>
                </c:pt>
                <c:pt idx="41">
                  <c:v>48.731191578610598</c:v>
                </c:pt>
                <c:pt idx="42">
                  <c:v>50.231191578610598</c:v>
                </c:pt>
                <c:pt idx="43">
                  <c:v>51.731191578610598</c:v>
                </c:pt>
                <c:pt idx="44">
                  <c:v>53.231191578610598</c:v>
                </c:pt>
                <c:pt idx="45">
                  <c:v>54.731191578610598</c:v>
                </c:pt>
                <c:pt idx="46">
                  <c:v>55.352511922170244</c:v>
                </c:pt>
                <c:pt idx="47">
                  <c:v>55.829267789963914</c:v>
                </c:pt>
                <c:pt idx="48">
                  <c:v>56.231191578610598</c:v>
                </c:pt>
                <c:pt idx="49">
                  <c:v>56.585293544860285</c:v>
                </c:pt>
                <c:pt idx="50">
                  <c:v>56.90542619278537</c:v>
                </c:pt>
                <c:pt idx="51">
                  <c:v>57.199818545207492</c:v>
                </c:pt>
                <c:pt idx="52">
                  <c:v>57.473832265729889</c:v>
                </c:pt>
                <c:pt idx="53">
                  <c:v>57.731191578610606</c:v>
                </c:pt>
                <c:pt idx="54">
                  <c:v>57.974608068863176</c:v>
                </c:pt>
                <c:pt idx="55">
                  <c:v>58.206128764143706</c:v>
                </c:pt>
                <c:pt idx="56">
                  <c:v>58.427344001317238</c:v>
                </c:pt>
                <c:pt idx="57">
                  <c:v>58.639518491806591</c:v>
                </c:pt>
                <c:pt idx="58">
                  <c:v>59.260838835366236</c:v>
                </c:pt>
                <c:pt idx="59">
                  <c:v>59.737594703159907</c:v>
                </c:pt>
                <c:pt idx="60">
                  <c:v>61.237594703159907</c:v>
                </c:pt>
                <c:pt idx="61">
                  <c:v>62.737594703159907</c:v>
                </c:pt>
                <c:pt idx="62">
                  <c:v>64.237594703159914</c:v>
                </c:pt>
                <c:pt idx="63">
                  <c:v>65.737594703159914</c:v>
                </c:pt>
                <c:pt idx="64">
                  <c:v>67.237594703159914</c:v>
                </c:pt>
                <c:pt idx="65">
                  <c:v>68.737594703159914</c:v>
                </c:pt>
                <c:pt idx="66">
                  <c:v>70.237594703159914</c:v>
                </c:pt>
                <c:pt idx="67">
                  <c:v>71.737594703159914</c:v>
                </c:pt>
                <c:pt idx="68">
                  <c:v>73.237594703159914</c:v>
                </c:pt>
                <c:pt idx="69">
                  <c:v>74.737594703159914</c:v>
                </c:pt>
                <c:pt idx="70">
                  <c:v>76.237594703159914</c:v>
                </c:pt>
                <c:pt idx="71">
                  <c:v>77.737594703159914</c:v>
                </c:pt>
                <c:pt idx="72">
                  <c:v>77.765692562955977</c:v>
                </c:pt>
                <c:pt idx="73">
                  <c:v>79.265692562955977</c:v>
                </c:pt>
                <c:pt idx="74">
                  <c:v>80.765692562955977</c:v>
                </c:pt>
                <c:pt idx="75">
                  <c:v>82.265692562955977</c:v>
                </c:pt>
                <c:pt idx="76">
                  <c:v>82.887012906515622</c:v>
                </c:pt>
                <c:pt idx="77">
                  <c:v>83.363768774309293</c:v>
                </c:pt>
                <c:pt idx="78">
                  <c:v>83.765692562955977</c:v>
                </c:pt>
                <c:pt idx="79">
                  <c:v>84.119794529205663</c:v>
                </c:pt>
                <c:pt idx="80">
                  <c:v>84.439927177130741</c:v>
                </c:pt>
                <c:pt idx="81">
                  <c:v>84.734319529552863</c:v>
                </c:pt>
                <c:pt idx="82">
                  <c:v>85.008333250075268</c:v>
                </c:pt>
                <c:pt idx="83">
                  <c:v>85.265692562955977</c:v>
                </c:pt>
                <c:pt idx="84">
                  <c:v>85.509109053208547</c:v>
                </c:pt>
                <c:pt idx="85">
                  <c:v>85.740629748489084</c:v>
                </c:pt>
                <c:pt idx="86">
                  <c:v>86.36195009204873</c:v>
                </c:pt>
                <c:pt idx="87">
                  <c:v>86.371662896280398</c:v>
                </c:pt>
                <c:pt idx="88">
                  <c:v>86.773586684927082</c:v>
                </c:pt>
                <c:pt idx="89">
                  <c:v>88.273586684927082</c:v>
                </c:pt>
                <c:pt idx="90">
                  <c:v>89.773586684927082</c:v>
                </c:pt>
                <c:pt idx="91">
                  <c:v>91.273586684927082</c:v>
                </c:pt>
                <c:pt idx="92">
                  <c:v>92.773586684927082</c:v>
                </c:pt>
                <c:pt idx="93">
                  <c:v>94.273586684927082</c:v>
                </c:pt>
                <c:pt idx="94">
                  <c:v>95.773586684927082</c:v>
                </c:pt>
                <c:pt idx="95">
                  <c:v>97.273586684927082</c:v>
                </c:pt>
                <c:pt idx="96">
                  <c:v>98.773586684927082</c:v>
                </c:pt>
                <c:pt idx="97">
                  <c:v>100.27358668492708</c:v>
                </c:pt>
                <c:pt idx="98">
                  <c:v>101.77358668492708</c:v>
                </c:pt>
                <c:pt idx="99">
                  <c:v>103.27358668492708</c:v>
                </c:pt>
                <c:pt idx="100">
                  <c:v>104.77358668492708</c:v>
                </c:pt>
                <c:pt idx="101">
                  <c:v>104.79336860933763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0-4589-8A8B-B6B30F4B4D4B}"/>
            </c:ext>
          </c:extLst>
        </c:ser>
        <c:ser>
          <c:idx val="1"/>
          <c:order val="1"/>
          <c:tx>
            <c:strRef>
              <c:f>DailyO!$AP$1</c:f>
              <c:strCache>
                <c:ptCount val="1"/>
                <c:pt idx="0">
                  <c:v>CTR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DailyO!$AP$2:$AP$307</c:f>
              <c:numCache>
                <c:formatCode>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1.6486317450958663E-2</c:v>
                </c:pt>
                <c:pt idx="5">
                  <c:v>3.0426420730123499E-2</c:v>
                </c:pt>
                <c:pt idx="6">
                  <c:v>7.5525620148059622E-2</c:v>
                </c:pt>
                <c:pt idx="7">
                  <c:v>0.15769967117419481</c:v>
                </c:pt>
                <c:pt idx="8">
                  <c:v>0.28176933426899048</c:v>
                </c:pt>
                <c:pt idx="9">
                  <c:v>0.39981514167809817</c:v>
                </c:pt>
                <c:pt idx="10">
                  <c:v>0.73884597897465154</c:v>
                </c:pt>
                <c:pt idx="11">
                  <c:v>0.9703438236875479</c:v>
                </c:pt>
                <c:pt idx="12">
                  <c:v>1.5189355361174581</c:v>
                </c:pt>
                <c:pt idx="13">
                  <c:v>2.136802711119822</c:v>
                </c:pt>
                <c:pt idx="14">
                  <c:v>2.7628159684645617</c:v>
                </c:pt>
                <c:pt idx="15">
                  <c:v>3.9884555827743782</c:v>
                </c:pt>
                <c:pt idx="16">
                  <c:v>5.5206771373467944</c:v>
                </c:pt>
                <c:pt idx="17">
                  <c:v>7.1693060811928966</c:v>
                </c:pt>
                <c:pt idx="18">
                  <c:v>9.4593514306959925</c:v>
                </c:pt>
                <c:pt idx="19">
                  <c:v>11.911637199558719</c:v>
                </c:pt>
                <c:pt idx="20">
                  <c:v>14.069959265973804</c:v>
                </c:pt>
                <c:pt idx="21">
                  <c:v>16.319525388657699</c:v>
                </c:pt>
                <c:pt idx="22">
                  <c:v>19.590925426276847</c:v>
                </c:pt>
                <c:pt idx="23">
                  <c:v>22.999704728027915</c:v>
                </c:pt>
                <c:pt idx="24">
                  <c:v>27.873324855187612</c:v>
                </c:pt>
                <c:pt idx="25">
                  <c:v>32.62468837378573</c:v>
                </c:pt>
                <c:pt idx="26">
                  <c:v>36.775747130076333</c:v>
                </c:pt>
                <c:pt idx="27">
                  <c:v>42.922761041500245</c:v>
                </c:pt>
                <c:pt idx="28">
                  <c:v>51.245175492809459</c:v>
                </c:pt>
                <c:pt idx="29">
                  <c:v>56.777311863731583</c:v>
                </c:pt>
                <c:pt idx="30">
                  <c:v>63.124080989498935</c:v>
                </c:pt>
                <c:pt idx="31">
                  <c:v>65.947861181217476</c:v>
                </c:pt>
                <c:pt idx="32">
                  <c:v>67.25912799187482</c:v>
                </c:pt>
                <c:pt idx="33">
                  <c:v>70.203627537903657</c:v>
                </c:pt>
                <c:pt idx="34">
                  <c:v>71.194483870395899</c:v>
                </c:pt>
                <c:pt idx="35">
                  <c:v>71.885663012921896</c:v>
                </c:pt>
                <c:pt idx="36">
                  <c:v>73.844971059686856</c:v>
                </c:pt>
                <c:pt idx="37">
                  <c:v>78.216986767378557</c:v>
                </c:pt>
                <c:pt idx="38">
                  <c:v>82.011725313211031</c:v>
                </c:pt>
                <c:pt idx="39">
                  <c:v>89.978859554438699</c:v>
                </c:pt>
                <c:pt idx="40">
                  <c:v>97.13118124334467</c:v>
                </c:pt>
                <c:pt idx="41">
                  <c:v>106.85570194335945</c:v>
                </c:pt>
                <c:pt idx="42">
                  <c:v>116.18725520918429</c:v>
                </c:pt>
                <c:pt idx="43">
                  <c:v>119.78373106052189</c:v>
                </c:pt>
                <c:pt idx="44">
                  <c:v>124.83944532943971</c:v>
                </c:pt>
                <c:pt idx="45">
                  <c:v>133.74105776111915</c:v>
                </c:pt>
                <c:pt idx="46">
                  <c:v>140.35763668303997</c:v>
                </c:pt>
                <c:pt idx="47">
                  <c:v>147.95860564636541</c:v>
                </c:pt>
                <c:pt idx="48">
                  <c:v>154.98017240979962</c:v>
                </c:pt>
                <c:pt idx="49">
                  <c:v>158.35779376394257</c:v>
                </c:pt>
                <c:pt idx="50">
                  <c:v>165.06829157826144</c:v>
                </c:pt>
                <c:pt idx="51">
                  <c:v>173.7233066755191</c:v>
                </c:pt>
                <c:pt idx="52">
                  <c:v>182.05226333195128</c:v>
                </c:pt>
                <c:pt idx="53">
                  <c:v>187.48406322561678</c:v>
                </c:pt>
                <c:pt idx="54">
                  <c:v>196.33949531441144</c:v>
                </c:pt>
                <c:pt idx="55">
                  <c:v>202.5089262740795</c:v>
                </c:pt>
                <c:pt idx="56">
                  <c:v>206.06350702392575</c:v>
                </c:pt>
                <c:pt idx="57">
                  <c:v>211.95712615819272</c:v>
                </c:pt>
                <c:pt idx="58">
                  <c:v>215.84069279373006</c:v>
                </c:pt>
                <c:pt idx="59">
                  <c:v>217.78593039614105</c:v>
                </c:pt>
                <c:pt idx="60">
                  <c:v>220.15797777245274</c:v>
                </c:pt>
                <c:pt idx="61">
                  <c:v>224.20673772904215</c:v>
                </c:pt>
                <c:pt idx="62">
                  <c:v>226.72558367332056</c:v>
                </c:pt>
                <c:pt idx="63">
                  <c:v>229.6427875100477</c:v>
                </c:pt>
                <c:pt idx="64">
                  <c:v>234.6954341773959</c:v>
                </c:pt>
                <c:pt idx="65">
                  <c:v>242.31736454036746</c:v>
                </c:pt>
                <c:pt idx="66">
                  <c:v>247.81989251082678</c:v>
                </c:pt>
                <c:pt idx="67">
                  <c:v>250.03142335219428</c:v>
                </c:pt>
                <c:pt idx="68">
                  <c:v>252.7318136151118</c:v>
                </c:pt>
                <c:pt idx="69">
                  <c:v>254.37599068733064</c:v>
                </c:pt>
                <c:pt idx="70">
                  <c:v>260.26494097976081</c:v>
                </c:pt>
                <c:pt idx="71">
                  <c:v>264.36927125986512</c:v>
                </c:pt>
                <c:pt idx="72">
                  <c:v>265.07742666759668</c:v>
                </c:pt>
                <c:pt idx="73">
                  <c:v>266.91535970175215</c:v>
                </c:pt>
                <c:pt idx="74">
                  <c:v>269.56684804697795</c:v>
                </c:pt>
                <c:pt idx="75">
                  <c:v>272.28273285046356</c:v>
                </c:pt>
                <c:pt idx="76">
                  <c:v>274.37045610916442</c:v>
                </c:pt>
                <c:pt idx="77">
                  <c:v>276.51630616493435</c:v>
                </c:pt>
                <c:pt idx="78">
                  <c:v>279.63694318440588</c:v>
                </c:pt>
                <c:pt idx="79">
                  <c:v>282.30112614181979</c:v>
                </c:pt>
                <c:pt idx="80">
                  <c:v>286.15675462039547</c:v>
                </c:pt>
                <c:pt idx="81">
                  <c:v>290.39716214645699</c:v>
                </c:pt>
                <c:pt idx="82">
                  <c:v>292.05813830834592</c:v>
                </c:pt>
                <c:pt idx="83">
                  <c:v>294.01350454357464</c:v>
                </c:pt>
                <c:pt idx="84">
                  <c:v>299.78913255195602</c:v>
                </c:pt>
                <c:pt idx="85">
                  <c:v>302.96415386729001</c:v>
                </c:pt>
                <c:pt idx="86">
                  <c:v>304.39708718059109</c:v>
                </c:pt>
                <c:pt idx="87">
                  <c:v>305.65096122940037</c:v>
                </c:pt>
                <c:pt idx="88">
                  <c:v>305.65096122940037</c:v>
                </c:pt>
                <c:pt idx="89">
                  <c:v>305.65096122940037</c:v>
                </c:pt>
                <c:pt idx="90">
                  <c:v>305.65096122940037</c:v>
                </c:pt>
                <c:pt idx="91">
                  <c:v>305.65096122940037</c:v>
                </c:pt>
                <c:pt idx="92">
                  <c:v>305.65096122940037</c:v>
                </c:pt>
                <c:pt idx="93">
                  <c:v>305.65096122940037</c:v>
                </c:pt>
                <c:pt idx="94">
                  <c:v>305.65096122940037</c:v>
                </c:pt>
                <c:pt idx="95">
                  <c:v>305.65096122940037</c:v>
                </c:pt>
                <c:pt idx="96">
                  <c:v>305.65096122940037</c:v>
                </c:pt>
                <c:pt idx="97">
                  <c:v>305.65096122940037</c:v>
                </c:pt>
                <c:pt idx="98">
                  <c:v>305.65096122940037</c:v>
                </c:pt>
                <c:pt idx="99">
                  <c:v>305.65096122940037</c:v>
                </c:pt>
                <c:pt idx="100">
                  <c:v>305.65096122940037</c:v>
                </c:pt>
                <c:pt idx="101">
                  <c:v>305.65096122940037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10-4589-8A8B-B6B30F4B4D4B}"/>
            </c:ext>
          </c:extLst>
        </c:ser>
        <c:ser>
          <c:idx val="5"/>
          <c:order val="2"/>
          <c:tx>
            <c:strRef>
              <c:f>DailyO!$AN$1</c:f>
              <c:strCache>
                <c:ptCount val="1"/>
                <c:pt idx="0">
                  <c:v>CRUNOF</c:v>
                </c:pt>
              </c:strCache>
            </c:strRef>
          </c:tx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DailyO!$AN$2:$AN$307</c:f>
              <c:numCache>
                <c:formatCode>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10-4589-8A8B-B6B30F4B4D4B}"/>
            </c:ext>
          </c:extLst>
        </c:ser>
        <c:ser>
          <c:idx val="2"/>
          <c:order val="3"/>
          <c:tx>
            <c:strRef>
              <c:f>DailyO!$AQ$1</c:f>
              <c:strCache>
                <c:ptCount val="1"/>
                <c:pt idx="0">
                  <c:v>CDRAIN</c:v>
                </c:pt>
              </c:strCache>
            </c:strRef>
          </c:tx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DailyO!$AQ$2:$AQ$307</c:f>
              <c:numCache>
                <c:formatCode>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3.7094809579125467</c:v>
                </c:pt>
                <c:pt idx="94">
                  <c:v>10.910648539848111</c:v>
                </c:pt>
                <c:pt idx="95">
                  <c:v>18.749863504590294</c:v>
                </c:pt>
                <c:pt idx="96">
                  <c:v>25.769216604685795</c:v>
                </c:pt>
                <c:pt idx="97">
                  <c:v>31.417841588861776</c:v>
                </c:pt>
                <c:pt idx="98">
                  <c:v>35.655596415570599</c:v>
                </c:pt>
                <c:pt idx="99">
                  <c:v>38.677894207475646</c:v>
                </c:pt>
                <c:pt idx="100">
                  <c:v>40.75146047455452</c:v>
                </c:pt>
                <c:pt idx="101">
                  <c:v>42.130984672698112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10-4589-8A8B-B6B30F4B4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450223"/>
        <c:axId val="1"/>
      </c:scatterChart>
      <c:valAx>
        <c:axId val="1157450223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mm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745022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20489360848242594"/>
          <c:y val="6.4748201438848921E-2"/>
          <c:w val="0.51987928114490278"/>
          <c:h val="0.3093525179856115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DailyO!$AK$1</c:f>
              <c:strCache>
                <c:ptCount val="1"/>
                <c:pt idx="0">
                  <c:v>CRAIN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DailyO!$AK$2:$AK$306</c:f>
              <c:numCache>
                <c:formatCode>0</c:formatCode>
                <c:ptCount val="30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3.8</c:v>
                </c:pt>
                <c:pt idx="6">
                  <c:v>3.8</c:v>
                </c:pt>
                <c:pt idx="7">
                  <c:v>3.8</c:v>
                </c:pt>
                <c:pt idx="8">
                  <c:v>3.8</c:v>
                </c:pt>
                <c:pt idx="9">
                  <c:v>3.8</c:v>
                </c:pt>
                <c:pt idx="10">
                  <c:v>3.8</c:v>
                </c:pt>
                <c:pt idx="11">
                  <c:v>3.8</c:v>
                </c:pt>
                <c:pt idx="12">
                  <c:v>3.8</c:v>
                </c:pt>
                <c:pt idx="13">
                  <c:v>3.8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  <c:pt idx="32">
                  <c:v>14</c:v>
                </c:pt>
                <c:pt idx="33">
                  <c:v>14</c:v>
                </c:pt>
                <c:pt idx="34">
                  <c:v>15.6</c:v>
                </c:pt>
                <c:pt idx="35">
                  <c:v>29.799999999999997</c:v>
                </c:pt>
                <c:pt idx="36">
                  <c:v>31.599999999999998</c:v>
                </c:pt>
                <c:pt idx="37">
                  <c:v>31.599999999999998</c:v>
                </c:pt>
                <c:pt idx="38">
                  <c:v>31.599999999999998</c:v>
                </c:pt>
                <c:pt idx="39">
                  <c:v>31.599999999999998</c:v>
                </c:pt>
                <c:pt idx="40">
                  <c:v>31.599999999999998</c:v>
                </c:pt>
                <c:pt idx="41">
                  <c:v>31.599999999999998</c:v>
                </c:pt>
                <c:pt idx="42">
                  <c:v>31.599999999999998</c:v>
                </c:pt>
                <c:pt idx="43">
                  <c:v>31.599999999999998</c:v>
                </c:pt>
                <c:pt idx="44">
                  <c:v>31.599999999999998</c:v>
                </c:pt>
                <c:pt idx="45">
                  <c:v>31.599999999999998</c:v>
                </c:pt>
                <c:pt idx="46">
                  <c:v>31.599999999999998</c:v>
                </c:pt>
                <c:pt idx="47">
                  <c:v>31.599999999999998</c:v>
                </c:pt>
                <c:pt idx="48">
                  <c:v>31.599999999999998</c:v>
                </c:pt>
                <c:pt idx="49">
                  <c:v>31.599999999999998</c:v>
                </c:pt>
                <c:pt idx="50">
                  <c:v>31.599999999999998</c:v>
                </c:pt>
                <c:pt idx="51">
                  <c:v>31.599999999999998</c:v>
                </c:pt>
                <c:pt idx="52">
                  <c:v>31.599999999999998</c:v>
                </c:pt>
                <c:pt idx="53">
                  <c:v>31.599999999999998</c:v>
                </c:pt>
                <c:pt idx="54">
                  <c:v>31.599999999999998</c:v>
                </c:pt>
                <c:pt idx="55">
                  <c:v>31.599999999999998</c:v>
                </c:pt>
                <c:pt idx="56">
                  <c:v>31.599999999999998</c:v>
                </c:pt>
                <c:pt idx="57">
                  <c:v>31.599999999999998</c:v>
                </c:pt>
                <c:pt idx="58">
                  <c:v>31.599999999999998</c:v>
                </c:pt>
                <c:pt idx="59">
                  <c:v>36.599999999999994</c:v>
                </c:pt>
                <c:pt idx="60">
                  <c:v>69.599999999999994</c:v>
                </c:pt>
                <c:pt idx="61">
                  <c:v>69.599999999999994</c:v>
                </c:pt>
                <c:pt idx="62">
                  <c:v>69.699999999999989</c:v>
                </c:pt>
                <c:pt idx="63">
                  <c:v>69.699999999999989</c:v>
                </c:pt>
                <c:pt idx="64">
                  <c:v>69.699999999999989</c:v>
                </c:pt>
                <c:pt idx="65">
                  <c:v>69.699999999999989</c:v>
                </c:pt>
                <c:pt idx="66">
                  <c:v>69.699999999999989</c:v>
                </c:pt>
                <c:pt idx="67">
                  <c:v>69.699999999999989</c:v>
                </c:pt>
                <c:pt idx="68">
                  <c:v>69.699999999999989</c:v>
                </c:pt>
                <c:pt idx="69">
                  <c:v>69.699999999999989</c:v>
                </c:pt>
                <c:pt idx="70">
                  <c:v>69.699999999999989</c:v>
                </c:pt>
                <c:pt idx="71">
                  <c:v>69.699999999999989</c:v>
                </c:pt>
                <c:pt idx="72">
                  <c:v>69.799999999999983</c:v>
                </c:pt>
                <c:pt idx="73">
                  <c:v>70.09999999999998</c:v>
                </c:pt>
                <c:pt idx="74">
                  <c:v>70.09999999999998</c:v>
                </c:pt>
                <c:pt idx="75">
                  <c:v>70.09999999999998</c:v>
                </c:pt>
                <c:pt idx="76">
                  <c:v>71.899999999999977</c:v>
                </c:pt>
                <c:pt idx="77">
                  <c:v>76.799999999999983</c:v>
                </c:pt>
                <c:pt idx="78">
                  <c:v>76.799999999999983</c:v>
                </c:pt>
                <c:pt idx="79">
                  <c:v>76.799999999999983</c:v>
                </c:pt>
                <c:pt idx="80">
                  <c:v>76.799999999999983</c:v>
                </c:pt>
                <c:pt idx="81">
                  <c:v>76.799999999999983</c:v>
                </c:pt>
                <c:pt idx="82">
                  <c:v>77.59999999999998</c:v>
                </c:pt>
                <c:pt idx="83">
                  <c:v>78.199999999999974</c:v>
                </c:pt>
                <c:pt idx="84">
                  <c:v>78.199999999999974</c:v>
                </c:pt>
                <c:pt idx="85">
                  <c:v>78.199999999999974</c:v>
                </c:pt>
                <c:pt idx="86">
                  <c:v>78.199999999999974</c:v>
                </c:pt>
                <c:pt idx="87">
                  <c:v>78.299999999999969</c:v>
                </c:pt>
                <c:pt idx="88">
                  <c:v>78.299999999999969</c:v>
                </c:pt>
                <c:pt idx="89">
                  <c:v>117.49999999999997</c:v>
                </c:pt>
                <c:pt idx="90">
                  <c:v>138.99999999999997</c:v>
                </c:pt>
                <c:pt idx="91">
                  <c:v>143.79999999999998</c:v>
                </c:pt>
                <c:pt idx="92">
                  <c:v>143.79999999999998</c:v>
                </c:pt>
                <c:pt idx="93">
                  <c:v>143.79999999999998</c:v>
                </c:pt>
                <c:pt idx="94">
                  <c:v>143.79999999999998</c:v>
                </c:pt>
                <c:pt idx="95">
                  <c:v>143.79999999999998</c:v>
                </c:pt>
                <c:pt idx="96">
                  <c:v>143.79999999999998</c:v>
                </c:pt>
                <c:pt idx="97">
                  <c:v>143.79999999999998</c:v>
                </c:pt>
                <c:pt idx="98">
                  <c:v>143.79999999999998</c:v>
                </c:pt>
                <c:pt idx="99">
                  <c:v>143.79999999999998</c:v>
                </c:pt>
                <c:pt idx="100">
                  <c:v>143.79999999999998</c:v>
                </c:pt>
                <c:pt idx="101">
                  <c:v>144.19999999999999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F5-4E76-A7F5-F726331C8EEF}"/>
            </c:ext>
          </c:extLst>
        </c:ser>
        <c:ser>
          <c:idx val="1"/>
          <c:order val="1"/>
          <c:tx>
            <c:strRef>
              <c:f>DailyO!$AL$1</c:f>
              <c:strCache>
                <c:ptCount val="1"/>
                <c:pt idx="0">
                  <c:v>CIRGW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DailyO!$AL$2:$AL$307</c:f>
              <c:numCache>
                <c:formatCode>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39.40755298692649</c:v>
                </c:pt>
                <c:pt idx="22">
                  <c:v>39.40755298692649</c:v>
                </c:pt>
                <c:pt idx="23">
                  <c:v>39.40755298692649</c:v>
                </c:pt>
                <c:pt idx="24">
                  <c:v>39.40755298692649</c:v>
                </c:pt>
                <c:pt idx="25">
                  <c:v>39.40755298692649</c:v>
                </c:pt>
                <c:pt idx="26">
                  <c:v>39.40755298692649</c:v>
                </c:pt>
                <c:pt idx="27">
                  <c:v>39.40755298692649</c:v>
                </c:pt>
                <c:pt idx="28">
                  <c:v>39.40755298692649</c:v>
                </c:pt>
                <c:pt idx="29">
                  <c:v>92.251246186530508</c:v>
                </c:pt>
                <c:pt idx="30">
                  <c:v>92.251246186530508</c:v>
                </c:pt>
                <c:pt idx="31">
                  <c:v>92.251246186530508</c:v>
                </c:pt>
                <c:pt idx="32">
                  <c:v>92.251246186530508</c:v>
                </c:pt>
                <c:pt idx="33">
                  <c:v>92.251246186530508</c:v>
                </c:pt>
                <c:pt idx="34">
                  <c:v>92.251246186530508</c:v>
                </c:pt>
                <c:pt idx="35">
                  <c:v>92.251246186530508</c:v>
                </c:pt>
                <c:pt idx="36">
                  <c:v>92.251246186530508</c:v>
                </c:pt>
                <c:pt idx="37">
                  <c:v>92.251246186530508</c:v>
                </c:pt>
                <c:pt idx="38">
                  <c:v>92.251246186530508</c:v>
                </c:pt>
                <c:pt idx="39">
                  <c:v>92.251246186530508</c:v>
                </c:pt>
                <c:pt idx="40">
                  <c:v>92.251246186530508</c:v>
                </c:pt>
                <c:pt idx="41">
                  <c:v>92.251246186530508</c:v>
                </c:pt>
                <c:pt idx="42">
                  <c:v>92.251246186530508</c:v>
                </c:pt>
                <c:pt idx="43">
                  <c:v>92.251246186530508</c:v>
                </c:pt>
                <c:pt idx="44">
                  <c:v>92.251246186530508</c:v>
                </c:pt>
                <c:pt idx="45">
                  <c:v>92.251246186530508</c:v>
                </c:pt>
                <c:pt idx="46">
                  <c:v>173.1373552139674</c:v>
                </c:pt>
                <c:pt idx="47">
                  <c:v>173.1373552139674</c:v>
                </c:pt>
                <c:pt idx="48">
                  <c:v>173.1373552139674</c:v>
                </c:pt>
                <c:pt idx="49">
                  <c:v>173.1373552139674</c:v>
                </c:pt>
                <c:pt idx="50">
                  <c:v>173.1373552139674</c:v>
                </c:pt>
                <c:pt idx="51">
                  <c:v>173.1373552139674</c:v>
                </c:pt>
                <c:pt idx="52">
                  <c:v>173.1373552139674</c:v>
                </c:pt>
                <c:pt idx="53">
                  <c:v>173.1373552139674</c:v>
                </c:pt>
                <c:pt idx="54">
                  <c:v>173.1373552139674</c:v>
                </c:pt>
                <c:pt idx="55">
                  <c:v>173.1373552139674</c:v>
                </c:pt>
                <c:pt idx="56">
                  <c:v>173.1373552139674</c:v>
                </c:pt>
                <c:pt idx="57">
                  <c:v>173.1373552139674</c:v>
                </c:pt>
                <c:pt idx="58">
                  <c:v>250.31137107022624</c:v>
                </c:pt>
                <c:pt idx="59">
                  <c:v>250.31137107022624</c:v>
                </c:pt>
                <c:pt idx="60">
                  <c:v>250.31137107022624</c:v>
                </c:pt>
                <c:pt idx="61">
                  <c:v>250.31137107022624</c:v>
                </c:pt>
                <c:pt idx="62">
                  <c:v>250.31137107022624</c:v>
                </c:pt>
                <c:pt idx="63">
                  <c:v>250.31137107022624</c:v>
                </c:pt>
                <c:pt idx="64">
                  <c:v>250.31137107022624</c:v>
                </c:pt>
                <c:pt idx="65">
                  <c:v>250.31137107022624</c:v>
                </c:pt>
                <c:pt idx="66">
                  <c:v>250.31137107022624</c:v>
                </c:pt>
                <c:pt idx="67">
                  <c:v>250.31137107022624</c:v>
                </c:pt>
                <c:pt idx="68">
                  <c:v>250.31137107022624</c:v>
                </c:pt>
                <c:pt idx="69">
                  <c:v>250.31137107022624</c:v>
                </c:pt>
                <c:pt idx="70">
                  <c:v>250.31137107022624</c:v>
                </c:pt>
                <c:pt idx="71">
                  <c:v>250.31137107022624</c:v>
                </c:pt>
                <c:pt idx="72">
                  <c:v>250.31137107022624</c:v>
                </c:pt>
                <c:pt idx="73">
                  <c:v>250.31137107022624</c:v>
                </c:pt>
                <c:pt idx="74">
                  <c:v>250.31137107022624</c:v>
                </c:pt>
                <c:pt idx="75">
                  <c:v>250.31137107022624</c:v>
                </c:pt>
                <c:pt idx="76">
                  <c:v>250.31137107022624</c:v>
                </c:pt>
                <c:pt idx="77">
                  <c:v>250.31137107022624</c:v>
                </c:pt>
                <c:pt idx="78">
                  <c:v>250.31137107022624</c:v>
                </c:pt>
                <c:pt idx="79">
                  <c:v>250.31137107022624</c:v>
                </c:pt>
                <c:pt idx="80">
                  <c:v>250.31137107022624</c:v>
                </c:pt>
                <c:pt idx="81">
                  <c:v>250.31137107022624</c:v>
                </c:pt>
                <c:pt idx="82">
                  <c:v>250.31137107022624</c:v>
                </c:pt>
                <c:pt idx="83">
                  <c:v>250.31137107022624</c:v>
                </c:pt>
                <c:pt idx="84">
                  <c:v>250.31137107022624</c:v>
                </c:pt>
                <c:pt idx="85">
                  <c:v>250.31137107022624</c:v>
                </c:pt>
                <c:pt idx="86">
                  <c:v>323.61650845737046</c:v>
                </c:pt>
                <c:pt idx="87">
                  <c:v>323.61650845737046</c:v>
                </c:pt>
                <c:pt idx="88">
                  <c:v>323.61650845737046</c:v>
                </c:pt>
                <c:pt idx="89">
                  <c:v>323.61650845737046</c:v>
                </c:pt>
                <c:pt idx="90">
                  <c:v>323.61650845737046</c:v>
                </c:pt>
                <c:pt idx="91">
                  <c:v>323.61650845737046</c:v>
                </c:pt>
                <c:pt idx="92">
                  <c:v>323.61650845737046</c:v>
                </c:pt>
                <c:pt idx="93">
                  <c:v>323.61650845737046</c:v>
                </c:pt>
                <c:pt idx="94">
                  <c:v>323.61650845737046</c:v>
                </c:pt>
                <c:pt idx="95">
                  <c:v>323.61650845737046</c:v>
                </c:pt>
                <c:pt idx="96">
                  <c:v>323.61650845737046</c:v>
                </c:pt>
                <c:pt idx="97">
                  <c:v>323.61650845737046</c:v>
                </c:pt>
                <c:pt idx="98">
                  <c:v>323.61650845737046</c:v>
                </c:pt>
                <c:pt idx="99">
                  <c:v>323.61650845737046</c:v>
                </c:pt>
                <c:pt idx="100">
                  <c:v>323.61650845737046</c:v>
                </c:pt>
                <c:pt idx="101">
                  <c:v>323.61650845737046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F5-4E76-A7F5-F726331C8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451183"/>
        <c:axId val="1"/>
      </c:scatterChart>
      <c:valAx>
        <c:axId val="1157451183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mm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745118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20183550450689078"/>
          <c:y val="6.4748201438848921E-2"/>
          <c:w val="0.44342636069573871"/>
          <c:h val="0.2302158273381295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DailyO!$BI$1</c:f>
              <c:strCache>
                <c:ptCount val="1"/>
                <c:pt idx="0">
                  <c:v>CNUP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DailyO!$BI$2:$BI$307</c:f>
              <c:numCache>
                <c:formatCode>0.00</c:formatCode>
                <c:ptCount val="306"/>
                <c:pt idx="0">
                  <c:v>5.3E-3</c:v>
                </c:pt>
                <c:pt idx="1">
                  <c:v>5.3E-3</c:v>
                </c:pt>
                <c:pt idx="2">
                  <c:v>5.3E-3</c:v>
                </c:pt>
                <c:pt idx="3">
                  <c:v>5.3E-3</c:v>
                </c:pt>
                <c:pt idx="4">
                  <c:v>1.4605686573985179E-2</c:v>
                </c:pt>
                <c:pt idx="5">
                  <c:v>2.2656699807121469E-2</c:v>
                </c:pt>
                <c:pt idx="6">
                  <c:v>3.5372594757981046E-2</c:v>
                </c:pt>
                <c:pt idx="7">
                  <c:v>5.3437693884284425E-2</c:v>
                </c:pt>
                <c:pt idx="8">
                  <c:v>7.7466846273633067E-2</c:v>
                </c:pt>
                <c:pt idx="9">
                  <c:v>0.10915725252771918</c:v>
                </c:pt>
                <c:pt idx="10">
                  <c:v>0.14767947426846692</c:v>
                </c:pt>
                <c:pt idx="11">
                  <c:v>0.19108003750187155</c:v>
                </c:pt>
                <c:pt idx="12">
                  <c:v>0.2513032729523399</c:v>
                </c:pt>
                <c:pt idx="13">
                  <c:v>0.32222072103052468</c:v>
                </c:pt>
                <c:pt idx="14">
                  <c:v>0.39851211015829702</c:v>
                </c:pt>
                <c:pt idx="15">
                  <c:v>0.4966403834742299</c:v>
                </c:pt>
                <c:pt idx="16">
                  <c:v>0.60314274155427994</c:v>
                </c:pt>
                <c:pt idx="17">
                  <c:v>0.73186920361818308</c:v>
                </c:pt>
                <c:pt idx="18">
                  <c:v>0.88164228895604624</c:v>
                </c:pt>
                <c:pt idx="19">
                  <c:v>1.0390852283642693</c:v>
                </c:pt>
                <c:pt idx="20">
                  <c:v>1.2006745450509599</c:v>
                </c:pt>
                <c:pt idx="21">
                  <c:v>1.3852159407764153</c:v>
                </c:pt>
                <c:pt idx="22">
                  <c:v>1.6082268980458536</c:v>
                </c:pt>
                <c:pt idx="23">
                  <c:v>1.8283937903750593</c:v>
                </c:pt>
                <c:pt idx="24">
                  <c:v>2.1054553267042238</c:v>
                </c:pt>
                <c:pt idx="25">
                  <c:v>2.3947542717679915</c:v>
                </c:pt>
                <c:pt idx="26">
                  <c:v>2.6971018207749271</c:v>
                </c:pt>
                <c:pt idx="27">
                  <c:v>3.0401772850012079</c:v>
                </c:pt>
                <c:pt idx="28">
                  <c:v>3.4277827753262367</c:v>
                </c:pt>
                <c:pt idx="29">
                  <c:v>4.0277827753262363</c:v>
                </c:pt>
                <c:pt idx="30">
                  <c:v>4.5804771957883048</c:v>
                </c:pt>
                <c:pt idx="31">
                  <c:v>5.1804771957883045</c:v>
                </c:pt>
                <c:pt idx="32">
                  <c:v>5.653944430016101</c:v>
                </c:pt>
                <c:pt idx="33">
                  <c:v>6.2273549809062221</c:v>
                </c:pt>
                <c:pt idx="34">
                  <c:v>6.6941411844393341</c:v>
                </c:pt>
                <c:pt idx="35">
                  <c:v>7.1248284105339277</c:v>
                </c:pt>
                <c:pt idx="36">
                  <c:v>7.6316399424070189</c:v>
                </c:pt>
                <c:pt idx="37">
                  <c:v>8.2316399424070195</c:v>
                </c:pt>
                <c:pt idx="38">
                  <c:v>8.8316399424070191</c:v>
                </c:pt>
                <c:pt idx="39">
                  <c:v>9.4316399424070188</c:v>
                </c:pt>
                <c:pt idx="40">
                  <c:v>10.031639942407018</c:v>
                </c:pt>
                <c:pt idx="41">
                  <c:v>10.631639942407018</c:v>
                </c:pt>
                <c:pt idx="42">
                  <c:v>11.231639942407018</c:v>
                </c:pt>
                <c:pt idx="43">
                  <c:v>11.831639942407017</c:v>
                </c:pt>
                <c:pt idx="44">
                  <c:v>12.431639942407017</c:v>
                </c:pt>
                <c:pt idx="45">
                  <c:v>13.031639942407017</c:v>
                </c:pt>
                <c:pt idx="46">
                  <c:v>13.631639942407016</c:v>
                </c:pt>
                <c:pt idx="47">
                  <c:v>14.231639942407016</c:v>
                </c:pt>
                <c:pt idx="48">
                  <c:v>14.831639942407016</c:v>
                </c:pt>
                <c:pt idx="49">
                  <c:v>15.431639942407015</c:v>
                </c:pt>
                <c:pt idx="50">
                  <c:v>16.031639942407015</c:v>
                </c:pt>
                <c:pt idx="51">
                  <c:v>16.631639942407016</c:v>
                </c:pt>
                <c:pt idx="52">
                  <c:v>17.231639942407018</c:v>
                </c:pt>
                <c:pt idx="53">
                  <c:v>17.658500483521198</c:v>
                </c:pt>
                <c:pt idx="54">
                  <c:v>18.101711777834375</c:v>
                </c:pt>
                <c:pt idx="55">
                  <c:v>18.488944645728285</c:v>
                </c:pt>
                <c:pt idx="56">
                  <c:v>18.83069803387767</c:v>
                </c:pt>
                <c:pt idx="57">
                  <c:v>19.222300144270719</c:v>
                </c:pt>
                <c:pt idx="58">
                  <c:v>19.59489152896948</c:v>
                </c:pt>
                <c:pt idx="59">
                  <c:v>19.891838574627894</c:v>
                </c:pt>
                <c:pt idx="60">
                  <c:v>20.171108262592586</c:v>
                </c:pt>
                <c:pt idx="61">
                  <c:v>20.493969811226709</c:v>
                </c:pt>
                <c:pt idx="62">
                  <c:v>20.710768065373763</c:v>
                </c:pt>
                <c:pt idx="63">
                  <c:v>20.954729298443368</c:v>
                </c:pt>
                <c:pt idx="64">
                  <c:v>21.184524399249213</c:v>
                </c:pt>
                <c:pt idx="65">
                  <c:v>21.366703881317662</c:v>
                </c:pt>
                <c:pt idx="66">
                  <c:v>21.542492987581792</c:v>
                </c:pt>
                <c:pt idx="67">
                  <c:v>21.699516558395327</c:v>
                </c:pt>
                <c:pt idx="68">
                  <c:v>21.846156246810406</c:v>
                </c:pt>
                <c:pt idx="69">
                  <c:v>21.846156246810406</c:v>
                </c:pt>
                <c:pt idx="70">
                  <c:v>22.03012757242146</c:v>
                </c:pt>
                <c:pt idx="71">
                  <c:v>22.03012757242146</c:v>
                </c:pt>
                <c:pt idx="72">
                  <c:v>22.03012757242146</c:v>
                </c:pt>
                <c:pt idx="73">
                  <c:v>22.03012757242146</c:v>
                </c:pt>
                <c:pt idx="74">
                  <c:v>22.03012757242146</c:v>
                </c:pt>
                <c:pt idx="75">
                  <c:v>22.03012757242146</c:v>
                </c:pt>
                <c:pt idx="76">
                  <c:v>22.03012757242146</c:v>
                </c:pt>
                <c:pt idx="77">
                  <c:v>22.03012757242146</c:v>
                </c:pt>
                <c:pt idx="78">
                  <c:v>22.03012757242146</c:v>
                </c:pt>
                <c:pt idx="79">
                  <c:v>22.03012757242146</c:v>
                </c:pt>
                <c:pt idx="80">
                  <c:v>22.03012757242146</c:v>
                </c:pt>
                <c:pt idx="81">
                  <c:v>22.03012757242146</c:v>
                </c:pt>
                <c:pt idx="82">
                  <c:v>22.03012757242146</c:v>
                </c:pt>
                <c:pt idx="83">
                  <c:v>22.03012757242146</c:v>
                </c:pt>
                <c:pt idx="84">
                  <c:v>22.03012757242146</c:v>
                </c:pt>
                <c:pt idx="85">
                  <c:v>22.03012757242146</c:v>
                </c:pt>
                <c:pt idx="86">
                  <c:v>22.03012757242146</c:v>
                </c:pt>
                <c:pt idx="87">
                  <c:v>22.03012757242146</c:v>
                </c:pt>
                <c:pt idx="88">
                  <c:v>22.03012757242146</c:v>
                </c:pt>
                <c:pt idx="89">
                  <c:v>22.03012757242146</c:v>
                </c:pt>
                <c:pt idx="90">
                  <c:v>22.03012757242146</c:v>
                </c:pt>
                <c:pt idx="91">
                  <c:v>22.03012757242146</c:v>
                </c:pt>
                <c:pt idx="92">
                  <c:v>22.03012757242146</c:v>
                </c:pt>
                <c:pt idx="93">
                  <c:v>22.03012757242146</c:v>
                </c:pt>
                <c:pt idx="94">
                  <c:v>22.03012757242146</c:v>
                </c:pt>
                <c:pt idx="95">
                  <c:v>22.03012757242146</c:v>
                </c:pt>
                <c:pt idx="96">
                  <c:v>22.03012757242146</c:v>
                </c:pt>
                <c:pt idx="97">
                  <c:v>22.03012757242146</c:v>
                </c:pt>
                <c:pt idx="98">
                  <c:v>22.03012757242146</c:v>
                </c:pt>
                <c:pt idx="99">
                  <c:v>22.03012757242146</c:v>
                </c:pt>
                <c:pt idx="100">
                  <c:v>22.03012757242146</c:v>
                </c:pt>
                <c:pt idx="101">
                  <c:v>22.03012757242146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A0-4DF6-AA54-50587DD6EFC2}"/>
            </c:ext>
          </c:extLst>
        </c:ser>
        <c:ser>
          <c:idx val="1"/>
          <c:order val="1"/>
          <c:tx>
            <c:strRef>
              <c:f>DailyO!$BH$1</c:f>
              <c:strCache>
                <c:ptCount val="1"/>
                <c:pt idx="0">
                  <c:v>NGRN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DailyO!$BH$2:$BH$307</c:f>
              <c:numCache>
                <c:formatCode>0.00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0.15929136225913304</c:v>
                </c:pt>
                <c:pt idx="54">
                  <c:v>0.33218508324199764</c:v>
                </c:pt>
                <c:pt idx="55">
                  <c:v>0.51604844835690389</c:v>
                </c:pt>
                <c:pt idx="56">
                  <c:v>0.70890692166008418</c:v>
                </c:pt>
                <c:pt idx="57">
                  <c:v>0.91602593233491847</c:v>
                </c:pt>
                <c:pt idx="58">
                  <c:v>1.1332918638318912</c:v>
                </c:pt>
                <c:pt idx="59">
                  <c:v>1.3536567197961658</c:v>
                </c:pt>
                <c:pt idx="60">
                  <c:v>1.5807847270226483</c:v>
                </c:pt>
                <c:pt idx="61">
                  <c:v>1.8299675694314048</c:v>
                </c:pt>
                <c:pt idx="62">
                  <c:v>2.0700456072105666</c:v>
                </c:pt>
                <c:pt idx="63">
                  <c:v>2.3210932891217704</c:v>
                </c:pt>
                <c:pt idx="64">
                  <c:v>2.5867259849309923</c:v>
                </c:pt>
                <c:pt idx="65">
                  <c:v>2.8703730390971463</c:v>
                </c:pt>
                <c:pt idx="66">
                  <c:v>3.1579599260623969</c:v>
                </c:pt>
                <c:pt idx="67">
                  <c:v>3.4579384681136278</c:v>
                </c:pt>
                <c:pt idx="68">
                  <c:v>3.7778848652220915</c:v>
                </c:pt>
                <c:pt idx="69">
                  <c:v>4.0768371580268656</c:v>
                </c:pt>
                <c:pt idx="70">
                  <c:v>4.4408990310942231</c:v>
                </c:pt>
                <c:pt idx="71">
                  <c:v>4.7820865458002002</c:v>
                </c:pt>
                <c:pt idx="72">
                  <c:v>5.0610693986778594</c:v>
                </c:pt>
                <c:pt idx="73">
                  <c:v>5.3787664209562145</c:v>
                </c:pt>
                <c:pt idx="74">
                  <c:v>5.7461726594549827</c:v>
                </c:pt>
                <c:pt idx="75">
                  <c:v>6.1053369257932335</c:v>
                </c:pt>
                <c:pt idx="76">
                  <c:v>6.4636324062197916</c:v>
                </c:pt>
                <c:pt idx="77">
                  <c:v>6.8340690333365242</c:v>
                </c:pt>
                <c:pt idx="78">
                  <c:v>7.237352495077829</c:v>
                </c:pt>
                <c:pt idx="79">
                  <c:v>7.6348767680167207</c:v>
                </c:pt>
                <c:pt idx="80">
                  <c:v>8.083759174977514</c:v>
                </c:pt>
                <c:pt idx="81">
                  <c:v>8.5518726653235522</c:v>
                </c:pt>
                <c:pt idx="82">
                  <c:v>8.9796826855480329</c:v>
                </c:pt>
                <c:pt idx="83">
                  <c:v>9.3587146522367419</c:v>
                </c:pt>
                <c:pt idx="84">
                  <c:v>9.8134823419034234</c:v>
                </c:pt>
                <c:pt idx="85">
                  <c:v>10.257526148763317</c:v>
                </c:pt>
                <c:pt idx="86">
                  <c:v>10.643959470996188</c:v>
                </c:pt>
                <c:pt idx="87">
                  <c:v>11.004768169725349</c:v>
                </c:pt>
                <c:pt idx="88">
                  <c:v>11.004768169725349</c:v>
                </c:pt>
                <c:pt idx="89">
                  <c:v>11.004768169725349</c:v>
                </c:pt>
                <c:pt idx="90">
                  <c:v>11.004768169725349</c:v>
                </c:pt>
                <c:pt idx="91">
                  <c:v>11.004768169725349</c:v>
                </c:pt>
                <c:pt idx="92">
                  <c:v>11.004768169725349</c:v>
                </c:pt>
                <c:pt idx="93">
                  <c:v>11.004768169725349</c:v>
                </c:pt>
                <c:pt idx="94">
                  <c:v>11.004768169725349</c:v>
                </c:pt>
                <c:pt idx="95">
                  <c:v>11.004768169725349</c:v>
                </c:pt>
                <c:pt idx="96">
                  <c:v>11.004768169725349</c:v>
                </c:pt>
                <c:pt idx="97">
                  <c:v>11.004768169725349</c:v>
                </c:pt>
                <c:pt idx="98">
                  <c:v>11.004768169725349</c:v>
                </c:pt>
                <c:pt idx="99">
                  <c:v>11.004768169725349</c:v>
                </c:pt>
                <c:pt idx="100">
                  <c:v>11.004768169725349</c:v>
                </c:pt>
                <c:pt idx="101">
                  <c:v>11.004768169725349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A0-4DF6-AA54-50587DD6E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454063"/>
        <c:axId val="1"/>
      </c:scatterChart>
      <c:valAx>
        <c:axId val="1157454063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 N m-2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745406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8960308860475009"/>
          <c:y val="6.4748201438848921E-2"/>
          <c:w val="0.43119394479359802"/>
          <c:h val="0.2302158273381295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DailyO!$AS$1</c:f>
              <c:strCache>
                <c:ptCount val="1"/>
                <c:pt idx="0">
                  <c:v>CNFERT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DailyO!$AS$2:$AS$307</c:f>
              <c:numCache>
                <c:formatCode>0.00</c:formatCode>
                <c:ptCount val="306"/>
                <c:pt idx="0">
                  <c:v>0</c:v>
                </c:pt>
                <c:pt idx="1">
                  <c:v>6.12</c:v>
                </c:pt>
                <c:pt idx="2">
                  <c:v>6.12</c:v>
                </c:pt>
                <c:pt idx="3">
                  <c:v>6.12</c:v>
                </c:pt>
                <c:pt idx="4">
                  <c:v>6.12</c:v>
                </c:pt>
                <c:pt idx="5">
                  <c:v>6.12</c:v>
                </c:pt>
                <c:pt idx="6">
                  <c:v>6.12</c:v>
                </c:pt>
                <c:pt idx="7">
                  <c:v>6.12</c:v>
                </c:pt>
                <c:pt idx="8">
                  <c:v>6.12</c:v>
                </c:pt>
                <c:pt idx="9">
                  <c:v>6.12</c:v>
                </c:pt>
                <c:pt idx="10">
                  <c:v>6.12</c:v>
                </c:pt>
                <c:pt idx="11">
                  <c:v>12.24</c:v>
                </c:pt>
                <c:pt idx="12">
                  <c:v>12.24</c:v>
                </c:pt>
                <c:pt idx="13">
                  <c:v>12.24</c:v>
                </c:pt>
                <c:pt idx="14">
                  <c:v>12.24</c:v>
                </c:pt>
                <c:pt idx="15">
                  <c:v>18.36</c:v>
                </c:pt>
                <c:pt idx="16">
                  <c:v>18.36</c:v>
                </c:pt>
                <c:pt idx="17">
                  <c:v>18.36</c:v>
                </c:pt>
                <c:pt idx="18">
                  <c:v>18.36</c:v>
                </c:pt>
                <c:pt idx="19">
                  <c:v>18.36</c:v>
                </c:pt>
                <c:pt idx="20">
                  <c:v>18.36</c:v>
                </c:pt>
                <c:pt idx="21">
                  <c:v>18.36</c:v>
                </c:pt>
                <c:pt idx="22">
                  <c:v>18.36</c:v>
                </c:pt>
                <c:pt idx="23">
                  <c:v>18.36</c:v>
                </c:pt>
                <c:pt idx="24">
                  <c:v>18.36</c:v>
                </c:pt>
                <c:pt idx="25">
                  <c:v>18.36</c:v>
                </c:pt>
                <c:pt idx="26">
                  <c:v>18.36</c:v>
                </c:pt>
                <c:pt idx="27">
                  <c:v>18.36</c:v>
                </c:pt>
                <c:pt idx="28">
                  <c:v>18.36</c:v>
                </c:pt>
                <c:pt idx="29">
                  <c:v>18.36</c:v>
                </c:pt>
                <c:pt idx="30">
                  <c:v>18.36</c:v>
                </c:pt>
                <c:pt idx="31">
                  <c:v>18.36</c:v>
                </c:pt>
                <c:pt idx="32">
                  <c:v>18.36</c:v>
                </c:pt>
                <c:pt idx="33">
                  <c:v>18.36</c:v>
                </c:pt>
                <c:pt idx="34">
                  <c:v>18.36</c:v>
                </c:pt>
                <c:pt idx="35">
                  <c:v>18.36</c:v>
                </c:pt>
                <c:pt idx="36">
                  <c:v>18.36</c:v>
                </c:pt>
                <c:pt idx="37">
                  <c:v>18.36</c:v>
                </c:pt>
                <c:pt idx="38">
                  <c:v>18.36</c:v>
                </c:pt>
                <c:pt idx="39">
                  <c:v>18.36</c:v>
                </c:pt>
                <c:pt idx="40">
                  <c:v>18.36</c:v>
                </c:pt>
                <c:pt idx="41">
                  <c:v>18.36</c:v>
                </c:pt>
                <c:pt idx="42">
                  <c:v>18.36</c:v>
                </c:pt>
                <c:pt idx="43">
                  <c:v>18.36</c:v>
                </c:pt>
                <c:pt idx="44">
                  <c:v>18.36</c:v>
                </c:pt>
                <c:pt idx="45">
                  <c:v>18.36</c:v>
                </c:pt>
                <c:pt idx="46">
                  <c:v>18.36</c:v>
                </c:pt>
                <c:pt idx="47">
                  <c:v>18.36</c:v>
                </c:pt>
                <c:pt idx="48">
                  <c:v>18.36</c:v>
                </c:pt>
                <c:pt idx="49">
                  <c:v>18.36</c:v>
                </c:pt>
                <c:pt idx="50">
                  <c:v>18.36</c:v>
                </c:pt>
                <c:pt idx="51">
                  <c:v>18.36</c:v>
                </c:pt>
                <c:pt idx="52">
                  <c:v>18.36</c:v>
                </c:pt>
                <c:pt idx="53">
                  <c:v>18.36</c:v>
                </c:pt>
                <c:pt idx="54">
                  <c:v>18.36</c:v>
                </c:pt>
                <c:pt idx="55">
                  <c:v>18.36</c:v>
                </c:pt>
                <c:pt idx="56">
                  <c:v>18.36</c:v>
                </c:pt>
                <c:pt idx="57">
                  <c:v>18.36</c:v>
                </c:pt>
                <c:pt idx="58">
                  <c:v>18.36</c:v>
                </c:pt>
                <c:pt idx="59">
                  <c:v>18.36</c:v>
                </c:pt>
                <c:pt idx="60">
                  <c:v>18.36</c:v>
                </c:pt>
                <c:pt idx="61">
                  <c:v>18.36</c:v>
                </c:pt>
                <c:pt idx="62">
                  <c:v>18.36</c:v>
                </c:pt>
                <c:pt idx="63">
                  <c:v>18.36</c:v>
                </c:pt>
                <c:pt idx="64">
                  <c:v>18.36</c:v>
                </c:pt>
                <c:pt idx="65">
                  <c:v>18.36</c:v>
                </c:pt>
                <c:pt idx="66">
                  <c:v>18.36</c:v>
                </c:pt>
                <c:pt idx="67">
                  <c:v>18.36</c:v>
                </c:pt>
                <c:pt idx="68">
                  <c:v>18.36</c:v>
                </c:pt>
                <c:pt idx="69">
                  <c:v>18.36</c:v>
                </c:pt>
                <c:pt idx="70">
                  <c:v>18.36</c:v>
                </c:pt>
                <c:pt idx="71">
                  <c:v>18.36</c:v>
                </c:pt>
                <c:pt idx="72">
                  <c:v>18.36</c:v>
                </c:pt>
                <c:pt idx="73">
                  <c:v>18.36</c:v>
                </c:pt>
                <c:pt idx="74">
                  <c:v>18.36</c:v>
                </c:pt>
                <c:pt idx="75">
                  <c:v>18.36</c:v>
                </c:pt>
                <c:pt idx="76">
                  <c:v>18.36</c:v>
                </c:pt>
                <c:pt idx="77">
                  <c:v>18.36</c:v>
                </c:pt>
                <c:pt idx="78">
                  <c:v>18.36</c:v>
                </c:pt>
                <c:pt idx="79">
                  <c:v>18.36</c:v>
                </c:pt>
                <c:pt idx="80">
                  <c:v>18.36</c:v>
                </c:pt>
                <c:pt idx="81">
                  <c:v>18.36</c:v>
                </c:pt>
                <c:pt idx="82">
                  <c:v>18.36</c:v>
                </c:pt>
                <c:pt idx="83">
                  <c:v>18.36</c:v>
                </c:pt>
                <c:pt idx="84">
                  <c:v>18.36</c:v>
                </c:pt>
                <c:pt idx="85">
                  <c:v>18.36</c:v>
                </c:pt>
                <c:pt idx="86">
                  <c:v>18.36</c:v>
                </c:pt>
                <c:pt idx="87">
                  <c:v>18.36</c:v>
                </c:pt>
                <c:pt idx="88">
                  <c:v>18.36</c:v>
                </c:pt>
                <c:pt idx="89">
                  <c:v>18.36</c:v>
                </c:pt>
                <c:pt idx="90">
                  <c:v>18.36</c:v>
                </c:pt>
                <c:pt idx="91">
                  <c:v>18.36</c:v>
                </c:pt>
                <c:pt idx="92">
                  <c:v>18.36</c:v>
                </c:pt>
                <c:pt idx="93">
                  <c:v>18.36</c:v>
                </c:pt>
                <c:pt idx="94">
                  <c:v>18.36</c:v>
                </c:pt>
                <c:pt idx="95">
                  <c:v>18.36</c:v>
                </c:pt>
                <c:pt idx="96">
                  <c:v>18.36</c:v>
                </c:pt>
                <c:pt idx="97">
                  <c:v>18.36</c:v>
                </c:pt>
                <c:pt idx="98">
                  <c:v>18.36</c:v>
                </c:pt>
                <c:pt idx="99">
                  <c:v>18.36</c:v>
                </c:pt>
                <c:pt idx="100">
                  <c:v>18.36</c:v>
                </c:pt>
                <c:pt idx="101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D6-44AE-AE51-3CBE1CBDE3F2}"/>
            </c:ext>
          </c:extLst>
        </c:ser>
        <c:ser>
          <c:idx val="1"/>
          <c:order val="1"/>
          <c:tx>
            <c:strRef>
              <c:f>DailyO!$AY$1</c:f>
              <c:strCache>
                <c:ptCount val="1"/>
                <c:pt idx="0">
                  <c:v>CNMIN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DailyO!$AY$2:$AY$307</c:f>
              <c:numCache>
                <c:formatCode>0.00</c:formatCode>
                <c:ptCount val="306"/>
                <c:pt idx="0">
                  <c:v>0.30393084101279916</c:v>
                </c:pt>
                <c:pt idx="1">
                  <c:v>0.5804345234786582</c:v>
                </c:pt>
                <c:pt idx="2">
                  <c:v>0.8222314646134774</c:v>
                </c:pt>
                <c:pt idx="3">
                  <c:v>1.1094638285929896</c:v>
                </c:pt>
                <c:pt idx="4">
                  <c:v>1.3985390369314827</c:v>
                </c:pt>
                <c:pt idx="5">
                  <c:v>1.621935836083694</c:v>
                </c:pt>
                <c:pt idx="6">
                  <c:v>1.8655283574095662</c:v>
                </c:pt>
                <c:pt idx="7">
                  <c:v>2.1093682022303826</c:v>
                </c:pt>
                <c:pt idx="8">
                  <c:v>2.3507912300219682</c:v>
                </c:pt>
                <c:pt idx="9">
                  <c:v>2.5784702946252867</c:v>
                </c:pt>
                <c:pt idx="10">
                  <c:v>2.8155426151949632</c:v>
                </c:pt>
                <c:pt idx="11">
                  <c:v>3.0426792173344395</c:v>
                </c:pt>
                <c:pt idx="12">
                  <c:v>3.2899346974014527</c:v>
                </c:pt>
                <c:pt idx="13">
                  <c:v>3.5170860213666781</c:v>
                </c:pt>
                <c:pt idx="14">
                  <c:v>3.7378293629077666</c:v>
                </c:pt>
                <c:pt idx="15">
                  <c:v>3.9431439386176361</c:v>
                </c:pt>
                <c:pt idx="16">
                  <c:v>4.1525744553855919</c:v>
                </c:pt>
                <c:pt idx="17">
                  <c:v>4.3640516486074787</c:v>
                </c:pt>
                <c:pt idx="18">
                  <c:v>4.5478082751825806</c:v>
                </c:pt>
                <c:pt idx="19">
                  <c:v>4.7331763003181031</c:v>
                </c:pt>
                <c:pt idx="20">
                  <c:v>4.9023391591254439</c:v>
                </c:pt>
                <c:pt idx="21">
                  <c:v>5.0874570363502221</c:v>
                </c:pt>
                <c:pt idx="22">
                  <c:v>5.2163875742824732</c:v>
                </c:pt>
                <c:pt idx="23">
                  <c:v>5.3499809053118446</c:v>
                </c:pt>
                <c:pt idx="24">
                  <c:v>5.4941689808922209</c:v>
                </c:pt>
                <c:pt idx="25">
                  <c:v>5.6253759834298025</c:v>
                </c:pt>
                <c:pt idx="26">
                  <c:v>5.7502763660761849</c:v>
                </c:pt>
                <c:pt idx="27">
                  <c:v>5.870555456766974</c:v>
                </c:pt>
                <c:pt idx="28">
                  <c:v>5.9896804190056994</c:v>
                </c:pt>
                <c:pt idx="29">
                  <c:v>6.0796752275163</c:v>
                </c:pt>
                <c:pt idx="30">
                  <c:v>6.1852609912265706</c:v>
                </c:pt>
                <c:pt idx="31">
                  <c:v>6.290219039300756</c:v>
                </c:pt>
                <c:pt idx="32">
                  <c:v>6.3865417429358029</c:v>
                </c:pt>
                <c:pt idx="33">
                  <c:v>6.4889685185813422</c:v>
                </c:pt>
                <c:pt idx="34">
                  <c:v>6.5978729098828968</c:v>
                </c:pt>
                <c:pt idx="35">
                  <c:v>6.630319389067953</c:v>
                </c:pt>
                <c:pt idx="36">
                  <c:v>6.6615904742324066</c:v>
                </c:pt>
                <c:pt idx="37">
                  <c:v>6.6963916374072232</c:v>
                </c:pt>
                <c:pt idx="38">
                  <c:v>6.7983697912043226</c:v>
                </c:pt>
                <c:pt idx="39">
                  <c:v>6.9638620958484481</c:v>
                </c:pt>
                <c:pt idx="40">
                  <c:v>7.2049156354801829</c:v>
                </c:pt>
                <c:pt idx="41">
                  <c:v>7.4521055839746762</c:v>
                </c:pt>
                <c:pt idx="42">
                  <c:v>7.6463886117606705</c:v>
                </c:pt>
                <c:pt idx="43">
                  <c:v>7.841226796300746</c:v>
                </c:pt>
                <c:pt idx="44">
                  <c:v>8.0106022309833094</c:v>
                </c:pt>
                <c:pt idx="45">
                  <c:v>8.1556975690671027</c:v>
                </c:pt>
                <c:pt idx="46">
                  <c:v>8.2577523349627437</c:v>
                </c:pt>
                <c:pt idx="47">
                  <c:v>8.2730825026872647</c:v>
                </c:pt>
                <c:pt idx="48">
                  <c:v>8.2912032330175887</c:v>
                </c:pt>
                <c:pt idx="49">
                  <c:v>8.31272175447371</c:v>
                </c:pt>
                <c:pt idx="50">
                  <c:v>8.3355749655960665</c:v>
                </c:pt>
                <c:pt idx="51">
                  <c:v>8.3989208174437042</c:v>
                </c:pt>
                <c:pt idx="52">
                  <c:v>8.5789389563388863</c:v>
                </c:pt>
                <c:pt idx="53">
                  <c:v>8.8635941741354038</c:v>
                </c:pt>
                <c:pt idx="54">
                  <c:v>9.2038982901401525</c:v>
                </c:pt>
                <c:pt idx="55">
                  <c:v>9.4808638227567705</c:v>
                </c:pt>
                <c:pt idx="56">
                  <c:v>9.741806252557982</c:v>
                </c:pt>
                <c:pt idx="57">
                  <c:v>10.010396683621142</c:v>
                </c:pt>
                <c:pt idx="58">
                  <c:v>10.018848985897282</c:v>
                </c:pt>
                <c:pt idx="59">
                  <c:v>10.033461675134861</c:v>
                </c:pt>
                <c:pt idx="60">
                  <c:v>10.052789444911822</c:v>
                </c:pt>
                <c:pt idx="61">
                  <c:v>10.05549750675268</c:v>
                </c:pt>
                <c:pt idx="62">
                  <c:v>10.060421588140473</c:v>
                </c:pt>
                <c:pt idx="63">
                  <c:v>10.068323760324279</c:v>
                </c:pt>
                <c:pt idx="64">
                  <c:v>10.112783849061273</c:v>
                </c:pt>
                <c:pt idx="65">
                  <c:v>10.225782693309274</c:v>
                </c:pt>
                <c:pt idx="66">
                  <c:v>10.328468428664804</c:v>
                </c:pt>
                <c:pt idx="67">
                  <c:v>10.438668253483815</c:v>
                </c:pt>
                <c:pt idx="68">
                  <c:v>10.562597409876846</c:v>
                </c:pt>
                <c:pt idx="69">
                  <c:v>10.688713038039237</c:v>
                </c:pt>
                <c:pt idx="70">
                  <c:v>10.870068654301893</c:v>
                </c:pt>
                <c:pt idx="71">
                  <c:v>11.09506452901338</c:v>
                </c:pt>
                <c:pt idx="72">
                  <c:v>11.320359334970474</c:v>
                </c:pt>
                <c:pt idx="73">
                  <c:v>11.536253313912365</c:v>
                </c:pt>
                <c:pt idx="74">
                  <c:v>11.736686543569128</c:v>
                </c:pt>
                <c:pt idx="75">
                  <c:v>11.934050332486466</c:v>
                </c:pt>
                <c:pt idx="76">
                  <c:v>12.118220610158549</c:v>
                </c:pt>
                <c:pt idx="77">
                  <c:v>12.296954464380851</c:v>
                </c:pt>
                <c:pt idx="78">
                  <c:v>12.464061850129372</c:v>
                </c:pt>
                <c:pt idx="79">
                  <c:v>12.62773681090176</c:v>
                </c:pt>
                <c:pt idx="80">
                  <c:v>12.791442435485434</c:v>
                </c:pt>
                <c:pt idx="81">
                  <c:v>12.944091787791615</c:v>
                </c:pt>
                <c:pt idx="82">
                  <c:v>13.06571608935667</c:v>
                </c:pt>
                <c:pt idx="83">
                  <c:v>13.176559368258784</c:v>
                </c:pt>
                <c:pt idx="84">
                  <c:v>13.28412249510426</c:v>
                </c:pt>
                <c:pt idx="85">
                  <c:v>13.397303333463368</c:v>
                </c:pt>
                <c:pt idx="86">
                  <c:v>13.484481617943242</c:v>
                </c:pt>
                <c:pt idx="87">
                  <c:v>13.505118525918629</c:v>
                </c:pt>
                <c:pt idx="88">
                  <c:v>13.526435521047999</c:v>
                </c:pt>
                <c:pt idx="89">
                  <c:v>13.529322689553778</c:v>
                </c:pt>
                <c:pt idx="90">
                  <c:v>13.533189396622015</c:v>
                </c:pt>
                <c:pt idx="91">
                  <c:v>13.539424883087573</c:v>
                </c:pt>
                <c:pt idx="92">
                  <c:v>13.539424883087573</c:v>
                </c:pt>
                <c:pt idx="93">
                  <c:v>13.539424883087573</c:v>
                </c:pt>
                <c:pt idx="94">
                  <c:v>13.539424883087573</c:v>
                </c:pt>
                <c:pt idx="95">
                  <c:v>13.572529684430059</c:v>
                </c:pt>
                <c:pt idx="96">
                  <c:v>13.629946543535249</c:v>
                </c:pt>
                <c:pt idx="97">
                  <c:v>13.678679354207357</c:v>
                </c:pt>
                <c:pt idx="98">
                  <c:v>13.723778149051611</c:v>
                </c:pt>
                <c:pt idx="99">
                  <c:v>13.765614125651906</c:v>
                </c:pt>
                <c:pt idx="100">
                  <c:v>13.795383454123897</c:v>
                </c:pt>
                <c:pt idx="101">
                  <c:v>13.830799423026127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D6-44AE-AE51-3CBE1CBDE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471343"/>
        <c:axId val="1"/>
      </c:scatterChart>
      <c:valAx>
        <c:axId val="1157471343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 N m-2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747134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8042877667814458"/>
          <c:y val="6.4748201438848921E-2"/>
          <c:w val="0.42201963286699251"/>
          <c:h val="0.2302158273381295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DailyO!$AU$1</c:f>
              <c:strCache>
                <c:ptCount val="1"/>
                <c:pt idx="0">
                  <c:v>CNVOL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DailyO!$AU$2:$AU$307</c:f>
              <c:numCache>
                <c:formatCode>0.00</c:formatCode>
                <c:ptCount val="306"/>
                <c:pt idx="0">
                  <c:v>0</c:v>
                </c:pt>
                <c:pt idx="1">
                  <c:v>0.18359999999999999</c:v>
                </c:pt>
                <c:pt idx="2">
                  <c:v>0.18359999999999999</c:v>
                </c:pt>
                <c:pt idx="3">
                  <c:v>0.18359999999999999</c:v>
                </c:pt>
                <c:pt idx="4">
                  <c:v>0.18359999999999999</c:v>
                </c:pt>
                <c:pt idx="5">
                  <c:v>0.18359999999999999</c:v>
                </c:pt>
                <c:pt idx="6">
                  <c:v>0.18359999999999999</c:v>
                </c:pt>
                <c:pt idx="7">
                  <c:v>0.18359999999999999</c:v>
                </c:pt>
                <c:pt idx="8">
                  <c:v>0.18359999999999999</c:v>
                </c:pt>
                <c:pt idx="9">
                  <c:v>0.18359999999999999</c:v>
                </c:pt>
                <c:pt idx="10">
                  <c:v>0.18359999999999999</c:v>
                </c:pt>
                <c:pt idx="11">
                  <c:v>0.79560000000000008</c:v>
                </c:pt>
                <c:pt idx="12">
                  <c:v>0.79560000000000008</c:v>
                </c:pt>
                <c:pt idx="13">
                  <c:v>0.79560000000000008</c:v>
                </c:pt>
                <c:pt idx="14">
                  <c:v>0.79560000000000008</c:v>
                </c:pt>
                <c:pt idx="15">
                  <c:v>1.4076000000000002</c:v>
                </c:pt>
                <c:pt idx="16">
                  <c:v>1.4076000000000002</c:v>
                </c:pt>
                <c:pt idx="17">
                  <c:v>1.4076000000000002</c:v>
                </c:pt>
                <c:pt idx="18">
                  <c:v>1.4076000000000002</c:v>
                </c:pt>
                <c:pt idx="19">
                  <c:v>1.4076000000000002</c:v>
                </c:pt>
                <c:pt idx="20">
                  <c:v>1.4076000000000002</c:v>
                </c:pt>
                <c:pt idx="21">
                  <c:v>1.4076000000000002</c:v>
                </c:pt>
                <c:pt idx="22">
                  <c:v>1.4076000000000002</c:v>
                </c:pt>
                <c:pt idx="23">
                  <c:v>1.4076000000000002</c:v>
                </c:pt>
                <c:pt idx="24">
                  <c:v>1.4076000000000002</c:v>
                </c:pt>
                <c:pt idx="25">
                  <c:v>1.4076000000000002</c:v>
                </c:pt>
                <c:pt idx="26">
                  <c:v>1.4076000000000002</c:v>
                </c:pt>
                <c:pt idx="27">
                  <c:v>1.4076000000000002</c:v>
                </c:pt>
                <c:pt idx="28">
                  <c:v>1.4076000000000002</c:v>
                </c:pt>
                <c:pt idx="29">
                  <c:v>1.4076000000000002</c:v>
                </c:pt>
                <c:pt idx="30">
                  <c:v>1.4076000000000002</c:v>
                </c:pt>
                <c:pt idx="31">
                  <c:v>1.4076000000000002</c:v>
                </c:pt>
                <c:pt idx="32">
                  <c:v>1.4076000000000002</c:v>
                </c:pt>
                <c:pt idx="33">
                  <c:v>1.4076000000000002</c:v>
                </c:pt>
                <c:pt idx="34">
                  <c:v>1.4076000000000002</c:v>
                </c:pt>
                <c:pt idx="35">
                  <c:v>1.4076000000000002</c:v>
                </c:pt>
                <c:pt idx="36">
                  <c:v>1.4076000000000002</c:v>
                </c:pt>
                <c:pt idx="37">
                  <c:v>1.4076000000000002</c:v>
                </c:pt>
                <c:pt idx="38">
                  <c:v>1.4076000000000002</c:v>
                </c:pt>
                <c:pt idx="39">
                  <c:v>1.4076000000000002</c:v>
                </c:pt>
                <c:pt idx="40">
                  <c:v>1.4076000000000002</c:v>
                </c:pt>
                <c:pt idx="41">
                  <c:v>1.4076000000000002</c:v>
                </c:pt>
                <c:pt idx="42">
                  <c:v>1.4076000000000002</c:v>
                </c:pt>
                <c:pt idx="43">
                  <c:v>1.4076000000000002</c:v>
                </c:pt>
                <c:pt idx="44">
                  <c:v>1.4076000000000002</c:v>
                </c:pt>
                <c:pt idx="45">
                  <c:v>1.4076000000000002</c:v>
                </c:pt>
                <c:pt idx="46">
                  <c:v>1.4076000000000002</c:v>
                </c:pt>
                <c:pt idx="47">
                  <c:v>1.4076000000000002</c:v>
                </c:pt>
                <c:pt idx="48">
                  <c:v>1.4076000000000002</c:v>
                </c:pt>
                <c:pt idx="49">
                  <c:v>1.4076000000000002</c:v>
                </c:pt>
                <c:pt idx="50">
                  <c:v>1.4076000000000002</c:v>
                </c:pt>
                <c:pt idx="51">
                  <c:v>1.4076000000000002</c:v>
                </c:pt>
                <c:pt idx="52">
                  <c:v>1.4076000000000002</c:v>
                </c:pt>
                <c:pt idx="53">
                  <c:v>1.4076000000000002</c:v>
                </c:pt>
                <c:pt idx="54">
                  <c:v>1.4076000000000002</c:v>
                </c:pt>
                <c:pt idx="55">
                  <c:v>1.4076000000000002</c:v>
                </c:pt>
                <c:pt idx="56">
                  <c:v>1.4076000000000002</c:v>
                </c:pt>
                <c:pt idx="57">
                  <c:v>1.4076000000000002</c:v>
                </c:pt>
                <c:pt idx="58">
                  <c:v>1.4076000000000002</c:v>
                </c:pt>
                <c:pt idx="59">
                  <c:v>1.4076000000000002</c:v>
                </c:pt>
                <c:pt idx="60">
                  <c:v>1.4076000000000002</c:v>
                </c:pt>
                <c:pt idx="61">
                  <c:v>1.4076000000000002</c:v>
                </c:pt>
                <c:pt idx="62">
                  <c:v>1.4076000000000002</c:v>
                </c:pt>
                <c:pt idx="63">
                  <c:v>1.4076000000000002</c:v>
                </c:pt>
                <c:pt idx="64">
                  <c:v>1.4076000000000002</c:v>
                </c:pt>
                <c:pt idx="65">
                  <c:v>1.4076000000000002</c:v>
                </c:pt>
                <c:pt idx="66">
                  <c:v>1.4076000000000002</c:v>
                </c:pt>
                <c:pt idx="67">
                  <c:v>1.4076000000000002</c:v>
                </c:pt>
                <c:pt idx="68">
                  <c:v>1.4076000000000002</c:v>
                </c:pt>
                <c:pt idx="69">
                  <c:v>1.4076000000000002</c:v>
                </c:pt>
                <c:pt idx="70">
                  <c:v>1.4076000000000002</c:v>
                </c:pt>
                <c:pt idx="71">
                  <c:v>1.4076000000000002</c:v>
                </c:pt>
                <c:pt idx="72">
                  <c:v>1.4076000000000002</c:v>
                </c:pt>
                <c:pt idx="73">
                  <c:v>1.4076000000000002</c:v>
                </c:pt>
                <c:pt idx="74">
                  <c:v>1.4076000000000002</c:v>
                </c:pt>
                <c:pt idx="75">
                  <c:v>1.4076000000000002</c:v>
                </c:pt>
                <c:pt idx="76">
                  <c:v>1.4076000000000002</c:v>
                </c:pt>
                <c:pt idx="77">
                  <c:v>1.4076000000000002</c:v>
                </c:pt>
                <c:pt idx="78">
                  <c:v>1.4076000000000002</c:v>
                </c:pt>
                <c:pt idx="79">
                  <c:v>1.4076000000000002</c:v>
                </c:pt>
                <c:pt idx="80">
                  <c:v>1.4076000000000002</c:v>
                </c:pt>
                <c:pt idx="81">
                  <c:v>1.4076000000000002</c:v>
                </c:pt>
                <c:pt idx="82">
                  <c:v>1.4076000000000002</c:v>
                </c:pt>
                <c:pt idx="83">
                  <c:v>1.4076000000000002</c:v>
                </c:pt>
                <c:pt idx="84">
                  <c:v>1.4076000000000002</c:v>
                </c:pt>
                <c:pt idx="85">
                  <c:v>1.4076000000000002</c:v>
                </c:pt>
                <c:pt idx="86">
                  <c:v>1.4076000000000002</c:v>
                </c:pt>
                <c:pt idx="87">
                  <c:v>1.4076000000000002</c:v>
                </c:pt>
                <c:pt idx="88">
                  <c:v>1.4076000000000002</c:v>
                </c:pt>
                <c:pt idx="89">
                  <c:v>1.4076000000000002</c:v>
                </c:pt>
                <c:pt idx="90">
                  <c:v>1.4076000000000002</c:v>
                </c:pt>
                <c:pt idx="91">
                  <c:v>1.4076000000000002</c:v>
                </c:pt>
                <c:pt idx="92">
                  <c:v>1.4076000000000002</c:v>
                </c:pt>
                <c:pt idx="93">
                  <c:v>1.4076000000000002</c:v>
                </c:pt>
                <c:pt idx="94">
                  <c:v>1.4076000000000002</c:v>
                </c:pt>
                <c:pt idx="95">
                  <c:v>1.4076000000000002</c:v>
                </c:pt>
                <c:pt idx="96">
                  <c:v>1.4076000000000002</c:v>
                </c:pt>
                <c:pt idx="97">
                  <c:v>1.4076000000000002</c:v>
                </c:pt>
                <c:pt idx="98">
                  <c:v>1.4076000000000002</c:v>
                </c:pt>
                <c:pt idx="99">
                  <c:v>1.4076000000000002</c:v>
                </c:pt>
                <c:pt idx="100">
                  <c:v>1.4076000000000002</c:v>
                </c:pt>
                <c:pt idx="101">
                  <c:v>1.4076000000000002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4B-47EB-9481-C2081AECD9A0}"/>
            </c:ext>
          </c:extLst>
        </c:ser>
        <c:ser>
          <c:idx val="1"/>
          <c:order val="1"/>
          <c:tx>
            <c:strRef>
              <c:f>DailyO!$AW$1</c:f>
              <c:strCache>
                <c:ptCount val="1"/>
                <c:pt idx="0">
                  <c:v>CNLEACH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DailyO!$AW$2:$AW$307</c:f>
              <c:numCache>
                <c:formatCode>0.00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1.8316492716484105E-2</c:v>
                </c:pt>
                <c:pt idx="93">
                  <c:v>5.6140283783472633E-2</c:v>
                </c:pt>
                <c:pt idx="94">
                  <c:v>0.10000861871746219</c:v>
                </c:pt>
                <c:pt idx="95">
                  <c:v>0.14146578033796708</c:v>
                </c:pt>
                <c:pt idx="96">
                  <c:v>0.17622763955610962</c:v>
                </c:pt>
                <c:pt idx="97">
                  <c:v>0.2030796984894217</c:v>
                </c:pt>
                <c:pt idx="98">
                  <c:v>0.22261179945291537</c:v>
                </c:pt>
                <c:pt idx="99">
                  <c:v>0.23618585695609476</c:v>
                </c:pt>
                <c:pt idx="100">
                  <c:v>0.24529022004082821</c:v>
                </c:pt>
                <c:pt idx="101">
                  <c:v>0.25122652707040505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4B-47EB-9481-C2081AECD9A0}"/>
            </c:ext>
          </c:extLst>
        </c:ser>
        <c:ser>
          <c:idx val="5"/>
          <c:order val="2"/>
          <c:tx>
            <c:strRef>
              <c:f>DailyO!$BA$1</c:f>
              <c:strCache>
                <c:ptCount val="1"/>
                <c:pt idx="0">
                  <c:v>CNDNIT</c:v>
                </c:pt>
              </c:strCache>
            </c:strRef>
          </c:tx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DailyO!$BA$2:$BA$307</c:f>
              <c:numCache>
                <c:formatCode>0.00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1.3510565938154095</c:v>
                </c:pt>
                <c:pt idx="22">
                  <c:v>2.2912303551662681</c:v>
                </c:pt>
                <c:pt idx="23">
                  <c:v>3.1702691737560684</c:v>
                </c:pt>
                <c:pt idx="24">
                  <c:v>3.1702691737560684</c:v>
                </c:pt>
                <c:pt idx="25">
                  <c:v>3.1702691737560684</c:v>
                </c:pt>
                <c:pt idx="26">
                  <c:v>3.1702691737560684</c:v>
                </c:pt>
                <c:pt idx="27">
                  <c:v>3.1702691737560684</c:v>
                </c:pt>
                <c:pt idx="28">
                  <c:v>3.1702691737560684</c:v>
                </c:pt>
                <c:pt idx="29">
                  <c:v>5.6524203296777973</c:v>
                </c:pt>
                <c:pt idx="30">
                  <c:v>6.6836501638722456</c:v>
                </c:pt>
                <c:pt idx="31">
                  <c:v>7.4542894080505961</c:v>
                </c:pt>
                <c:pt idx="32">
                  <c:v>8.0148430587908557</c:v>
                </c:pt>
                <c:pt idx="33">
                  <c:v>8.446661639593275</c:v>
                </c:pt>
                <c:pt idx="34">
                  <c:v>8.8292384955182364</c:v>
                </c:pt>
                <c:pt idx="35">
                  <c:v>9.1163627840527699</c:v>
                </c:pt>
                <c:pt idx="36">
                  <c:v>9.3554652538595207</c:v>
                </c:pt>
                <c:pt idx="37">
                  <c:v>9.5794891122968906</c:v>
                </c:pt>
                <c:pt idx="38">
                  <c:v>9.7006098171056934</c:v>
                </c:pt>
                <c:pt idx="39">
                  <c:v>9.7006098171056934</c:v>
                </c:pt>
                <c:pt idx="40">
                  <c:v>9.7006098171056934</c:v>
                </c:pt>
                <c:pt idx="41">
                  <c:v>9.7006098171056934</c:v>
                </c:pt>
                <c:pt idx="42">
                  <c:v>9.7006098171056934</c:v>
                </c:pt>
                <c:pt idx="43">
                  <c:v>9.7006098171056934</c:v>
                </c:pt>
                <c:pt idx="44">
                  <c:v>9.7006098171056934</c:v>
                </c:pt>
                <c:pt idx="45">
                  <c:v>9.7006098171056934</c:v>
                </c:pt>
                <c:pt idx="46">
                  <c:v>10.03804033773971</c:v>
                </c:pt>
                <c:pt idx="47">
                  <c:v>10.125511517319193</c:v>
                </c:pt>
                <c:pt idx="48">
                  <c:v>10.181022170033948</c:v>
                </c:pt>
                <c:pt idx="49">
                  <c:v>10.218394423353697</c:v>
                </c:pt>
                <c:pt idx="50">
                  <c:v>10.24530714787381</c:v>
                </c:pt>
                <c:pt idx="51">
                  <c:v>10.259436236754754</c:v>
                </c:pt>
                <c:pt idx="52">
                  <c:v>10.259436236754754</c:v>
                </c:pt>
                <c:pt idx="53">
                  <c:v>10.259436236754754</c:v>
                </c:pt>
                <c:pt idx="54">
                  <c:v>10.259436236754754</c:v>
                </c:pt>
                <c:pt idx="55">
                  <c:v>10.259436236754754</c:v>
                </c:pt>
                <c:pt idx="56">
                  <c:v>10.259436236754754</c:v>
                </c:pt>
                <c:pt idx="57">
                  <c:v>10.259436236754754</c:v>
                </c:pt>
                <c:pt idx="58">
                  <c:v>10.35609668586453</c:v>
                </c:pt>
                <c:pt idx="59">
                  <c:v>10.378713355301505</c:v>
                </c:pt>
                <c:pt idx="60">
                  <c:v>10.388222724966027</c:v>
                </c:pt>
                <c:pt idx="61">
                  <c:v>10.393879868109519</c:v>
                </c:pt>
                <c:pt idx="62">
                  <c:v>10.399587165012484</c:v>
                </c:pt>
                <c:pt idx="63">
                  <c:v>10.405693787825378</c:v>
                </c:pt>
                <c:pt idx="64">
                  <c:v>10.408786949150942</c:v>
                </c:pt>
                <c:pt idx="65">
                  <c:v>10.41188134493243</c:v>
                </c:pt>
                <c:pt idx="66">
                  <c:v>10.41188134493243</c:v>
                </c:pt>
                <c:pt idx="67">
                  <c:v>10.41188134493243</c:v>
                </c:pt>
                <c:pt idx="68">
                  <c:v>10.41188134493243</c:v>
                </c:pt>
                <c:pt idx="69">
                  <c:v>10.41188134493243</c:v>
                </c:pt>
                <c:pt idx="70">
                  <c:v>10.41188134493243</c:v>
                </c:pt>
                <c:pt idx="71">
                  <c:v>10.41188134493243</c:v>
                </c:pt>
                <c:pt idx="72">
                  <c:v>10.41188134493243</c:v>
                </c:pt>
                <c:pt idx="73">
                  <c:v>10.41188134493243</c:v>
                </c:pt>
                <c:pt idx="74">
                  <c:v>10.41188134493243</c:v>
                </c:pt>
                <c:pt idx="75">
                  <c:v>10.41188134493243</c:v>
                </c:pt>
                <c:pt idx="76">
                  <c:v>10.41188134493243</c:v>
                </c:pt>
                <c:pt idx="77">
                  <c:v>10.41188134493243</c:v>
                </c:pt>
                <c:pt idx="78">
                  <c:v>10.41188134493243</c:v>
                </c:pt>
                <c:pt idx="79">
                  <c:v>10.41188134493243</c:v>
                </c:pt>
                <c:pt idx="80">
                  <c:v>10.41188134493243</c:v>
                </c:pt>
                <c:pt idx="81">
                  <c:v>10.41188134493243</c:v>
                </c:pt>
                <c:pt idx="82">
                  <c:v>10.41188134493243</c:v>
                </c:pt>
                <c:pt idx="83">
                  <c:v>10.41188134493243</c:v>
                </c:pt>
                <c:pt idx="84">
                  <c:v>10.41188134493243</c:v>
                </c:pt>
                <c:pt idx="85">
                  <c:v>10.41188134493243</c:v>
                </c:pt>
                <c:pt idx="86">
                  <c:v>10.569192306855774</c:v>
                </c:pt>
                <c:pt idx="87">
                  <c:v>10.628505663626008</c:v>
                </c:pt>
                <c:pt idx="88">
                  <c:v>10.667559836938265</c:v>
                </c:pt>
                <c:pt idx="89">
                  <c:v>10.696144364842832</c:v>
                </c:pt>
                <c:pt idx="90">
                  <c:v>10.713481830412388</c:v>
                </c:pt>
                <c:pt idx="91">
                  <c:v>10.726437921774929</c:v>
                </c:pt>
                <c:pt idx="92">
                  <c:v>10.736544582242274</c:v>
                </c:pt>
                <c:pt idx="93">
                  <c:v>10.746048869871354</c:v>
                </c:pt>
                <c:pt idx="94">
                  <c:v>10.753606380933808</c:v>
                </c:pt>
                <c:pt idx="95">
                  <c:v>10.759727921263451</c:v>
                </c:pt>
                <c:pt idx="96">
                  <c:v>10.766790208641671</c:v>
                </c:pt>
                <c:pt idx="97">
                  <c:v>10.773094948819185</c:v>
                </c:pt>
                <c:pt idx="98">
                  <c:v>10.779351485364286</c:v>
                </c:pt>
                <c:pt idx="99">
                  <c:v>10.785659561714191</c:v>
                </c:pt>
                <c:pt idx="100">
                  <c:v>10.790569416738935</c:v>
                </c:pt>
                <c:pt idx="101">
                  <c:v>10.796076482102698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4B-47EB-9481-C2081AECD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468463"/>
        <c:axId val="1"/>
      </c:scatterChart>
      <c:valAx>
        <c:axId val="1157468463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 N m-2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746846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9266119258028527"/>
          <c:y val="6.4748201438848921E-2"/>
          <c:w val="0.4342520487691332"/>
          <c:h val="0.2841726618705036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DailyO!$BC$1</c:f>
              <c:strCache>
                <c:ptCount val="1"/>
                <c:pt idx="0">
                  <c:v>NSOL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DailyO!$BC$2:$BC$307</c:f>
              <c:numCache>
                <c:formatCode>0.00</c:formatCode>
                <c:ptCount val="306"/>
                <c:pt idx="0">
                  <c:v>5.9517641743461311</c:v>
                </c:pt>
                <c:pt idx="1">
                  <c:v>12.164667856811992</c:v>
                </c:pt>
                <c:pt idx="2">
                  <c:v>12.406464797946811</c:v>
                </c:pt>
                <c:pt idx="3">
                  <c:v>12.693697161926323</c:v>
                </c:pt>
                <c:pt idx="4">
                  <c:v>12.973466687418151</c:v>
                </c:pt>
                <c:pt idx="5">
                  <c:v>13.188812476849474</c:v>
                </c:pt>
                <c:pt idx="6">
                  <c:v>13.419689108304546</c:v>
                </c:pt>
                <c:pt idx="7">
                  <c:v>13.645463861551846</c:v>
                </c:pt>
                <c:pt idx="8">
                  <c:v>13.862857747516248</c:v>
                </c:pt>
                <c:pt idx="9">
                  <c:v>14.058846420489346</c:v>
                </c:pt>
                <c:pt idx="10">
                  <c:v>14.25739653868219</c:v>
                </c:pt>
                <c:pt idx="11">
                  <c:v>19.94913260228082</c:v>
                </c:pt>
                <c:pt idx="12">
                  <c:v>20.136164875832019</c:v>
                </c:pt>
                <c:pt idx="13">
                  <c:v>20.292398795004257</c:v>
                </c:pt>
                <c:pt idx="14">
                  <c:v>20.43685080603256</c:v>
                </c:pt>
                <c:pt idx="15">
                  <c:v>26.052037178672215</c:v>
                </c:pt>
                <c:pt idx="16">
                  <c:v>26.154965410160901</c:v>
                </c:pt>
                <c:pt idx="17">
                  <c:v>26.237716225941714</c:v>
                </c:pt>
                <c:pt idx="18">
                  <c:v>26.271699862620693</c:v>
                </c:pt>
                <c:pt idx="19">
                  <c:v>26.299625047677615</c:v>
                </c:pt>
                <c:pt idx="20">
                  <c:v>26.307198691533824</c:v>
                </c:pt>
                <c:pt idx="21">
                  <c:v>24.95671869496239</c:v>
                </c:pt>
                <c:pt idx="22">
                  <c:v>23.922464534378861</c:v>
                </c:pt>
                <c:pt idx="23">
                  <c:v>22.956852176738341</c:v>
                </c:pt>
                <c:pt idx="24">
                  <c:v>22.82397874663647</c:v>
                </c:pt>
                <c:pt idx="25">
                  <c:v>22.665886838078652</c:v>
                </c:pt>
                <c:pt idx="26">
                  <c:v>22.488439709477273</c:v>
                </c:pt>
                <c:pt idx="27">
                  <c:v>22.265643381332445</c:v>
                </c:pt>
                <c:pt idx="28">
                  <c:v>21.997162909099462</c:v>
                </c:pt>
                <c:pt idx="29">
                  <c:v>19.005006659749061</c:v>
                </c:pt>
                <c:pt idx="30">
                  <c:v>17.52666823534074</c:v>
                </c:pt>
                <c:pt idx="31">
                  <c:v>16.260987124812065</c:v>
                </c:pt>
                <c:pt idx="32">
                  <c:v>15.323289020925394</c:v>
                </c:pt>
                <c:pt idx="33">
                  <c:v>14.420486763495477</c:v>
                </c:pt>
                <c:pt idx="34">
                  <c:v>13.680028184070267</c:v>
                </c:pt>
                <c:pt idx="35">
                  <c:v>12.994663236312672</c:v>
                </c:pt>
                <c:pt idx="36">
                  <c:v>12.280020423603922</c:v>
                </c:pt>
                <c:pt idx="37">
                  <c:v>11.490797860162072</c:v>
                </c:pt>
                <c:pt idx="38">
                  <c:v>10.871655454733268</c:v>
                </c:pt>
                <c:pt idx="39">
                  <c:v>10.437147916889423</c:v>
                </c:pt>
                <c:pt idx="40">
                  <c:v>10.078201627151238</c:v>
                </c:pt>
                <c:pt idx="41">
                  <c:v>9.7253917608031379</c:v>
                </c:pt>
                <c:pt idx="42">
                  <c:v>9.3196749941417281</c:v>
                </c:pt>
                <c:pt idx="43">
                  <c:v>8.9145134111632114</c:v>
                </c:pt>
                <c:pt idx="44">
                  <c:v>8.4838891009521902</c:v>
                </c:pt>
                <c:pt idx="45">
                  <c:v>8.0289847267110357</c:v>
                </c:pt>
                <c:pt idx="46">
                  <c:v>7.1936093172910063</c:v>
                </c:pt>
                <c:pt idx="47">
                  <c:v>6.5214685834553965</c:v>
                </c:pt>
                <c:pt idx="48">
                  <c:v>5.8840789710531567</c:v>
                </c:pt>
                <c:pt idx="49">
                  <c:v>5.2682255984737782</c:v>
                </c:pt>
                <c:pt idx="50">
                  <c:v>4.6641665026421766</c:v>
                </c:pt>
                <c:pt idx="51">
                  <c:v>4.1133837728216029</c:v>
                </c:pt>
                <c:pt idx="52">
                  <c:v>3.6934025462683113</c:v>
                </c:pt>
                <c:pt idx="53">
                  <c:v>3.5511977708208873</c:v>
                </c:pt>
                <c:pt idx="54">
                  <c:v>3.4482911984503151</c:v>
                </c:pt>
                <c:pt idx="55">
                  <c:v>3.3380244361755738</c:v>
                </c:pt>
                <c:pt idx="56">
                  <c:v>3.2572140248032153</c:v>
                </c:pt>
                <c:pt idx="57">
                  <c:v>3.1342030027175372</c:v>
                </c:pt>
                <c:pt idx="58">
                  <c:v>2.6734041622544735</c:v>
                </c:pt>
                <c:pt idx="59">
                  <c:v>2.3684537937964532</c:v>
                </c:pt>
                <c:pt idx="60">
                  <c:v>2.0990031870179129</c:v>
                </c:pt>
                <c:pt idx="61">
                  <c:v>1.7731933419974242</c:v>
                </c:pt>
                <c:pt idx="62">
                  <c:v>1.5556124788906429</c:v>
                </c:pt>
                <c:pt idx="63">
                  <c:v>1.313447600521167</c:v>
                </c:pt>
                <c:pt idx="64">
                  <c:v>1.1250204271223982</c:v>
                </c:pt>
                <c:pt idx="65">
                  <c:v>1.0527463935149717</c:v>
                </c:pt>
                <c:pt idx="66">
                  <c:v>0.97964402260068428</c:v>
                </c:pt>
                <c:pt idx="67">
                  <c:v>0.93282127659979042</c:v>
                </c:pt>
                <c:pt idx="68">
                  <c:v>0.91011174457092392</c:v>
                </c:pt>
                <c:pt idx="69">
                  <c:v>1.0362273727333158</c:v>
                </c:pt>
                <c:pt idx="70">
                  <c:v>1.0336126633794815</c:v>
                </c:pt>
                <c:pt idx="71">
                  <c:v>1.2586085380909686</c:v>
                </c:pt>
                <c:pt idx="72">
                  <c:v>1.4839033440480636</c:v>
                </c:pt>
                <c:pt idx="73">
                  <c:v>1.699797322989955</c:v>
                </c:pt>
                <c:pt idx="74">
                  <c:v>1.9002305526467178</c:v>
                </c:pt>
                <c:pt idx="75">
                  <c:v>2.0975943415640561</c:v>
                </c:pt>
                <c:pt idx="76">
                  <c:v>2.2817646192361396</c:v>
                </c:pt>
                <c:pt idx="77">
                  <c:v>2.4604984734584421</c:v>
                </c:pt>
                <c:pt idx="78">
                  <c:v>2.6276058592069629</c:v>
                </c:pt>
                <c:pt idx="79">
                  <c:v>2.7912808199793506</c:v>
                </c:pt>
                <c:pt idx="80">
                  <c:v>2.9549864445630245</c:v>
                </c:pt>
                <c:pt idx="81">
                  <c:v>3.1076357968692045</c:v>
                </c:pt>
                <c:pt idx="82">
                  <c:v>3.2292600984342594</c:v>
                </c:pt>
                <c:pt idx="83">
                  <c:v>3.3401033773363751</c:v>
                </c:pt>
                <c:pt idx="84">
                  <c:v>3.4476665041818499</c:v>
                </c:pt>
                <c:pt idx="85">
                  <c:v>3.5608473425409577</c:v>
                </c:pt>
                <c:pt idx="86">
                  <c:v>3.4907146650974887</c:v>
                </c:pt>
                <c:pt idx="87">
                  <c:v>3.4520382163026415</c:v>
                </c:pt>
                <c:pt idx="88">
                  <c:v>3.4343010381197545</c:v>
                </c:pt>
                <c:pt idx="89">
                  <c:v>3.4086036787209681</c:v>
                </c:pt>
                <c:pt idx="90">
                  <c:v>3.395132920219651</c:v>
                </c:pt>
                <c:pt idx="91">
                  <c:v>3.3884123153226673</c:v>
                </c:pt>
                <c:pt idx="92">
                  <c:v>3.359989162138838</c:v>
                </c:pt>
                <c:pt idx="93">
                  <c:v>3.3126610834427703</c:v>
                </c:pt>
                <c:pt idx="94">
                  <c:v>3.2612352374463254</c:v>
                </c:pt>
                <c:pt idx="95">
                  <c:v>3.246761336838663</c:v>
                </c:pt>
                <c:pt idx="96">
                  <c:v>3.2623540493474894</c:v>
                </c:pt>
                <c:pt idx="97">
                  <c:v>3.2779300609087723</c:v>
                </c:pt>
                <c:pt idx="98">
                  <c:v>3.2972402182444318</c:v>
                </c:pt>
                <c:pt idx="99">
                  <c:v>3.3191940609916433</c:v>
                </c:pt>
                <c:pt idx="100">
                  <c:v>3.3349491713541561</c:v>
                </c:pt>
                <c:pt idx="101">
                  <c:v>3.358921767863047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E9-4830-B8DA-ED46BF13EAC1}"/>
            </c:ext>
          </c:extLst>
        </c:ser>
        <c:ser>
          <c:idx val="1"/>
          <c:order val="1"/>
          <c:tx>
            <c:strRef>
              <c:f>DailyO!$BB$1</c:f>
              <c:strCache>
                <c:ptCount val="1"/>
                <c:pt idx="0">
                  <c:v>SNAVL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DailyO!$BB$2:$BB$307</c:f>
              <c:numCache>
                <c:formatCode>0.00</c:formatCode>
                <c:ptCount val="306"/>
                <c:pt idx="0">
                  <c:v>0.55905579869885924</c:v>
                </c:pt>
                <c:pt idx="1">
                  <c:v>2.6556514635632129</c:v>
                </c:pt>
                <c:pt idx="2">
                  <c:v>2.7875958358862052</c:v>
                </c:pt>
                <c:pt idx="3">
                  <c:v>2.496614724570942</c:v>
                </c:pt>
                <c:pt idx="4">
                  <c:v>2.2922670943597616</c:v>
                </c:pt>
                <c:pt idx="5">
                  <c:v>2.5030993762505473</c:v>
                </c:pt>
                <c:pt idx="6">
                  <c:v>2.3918435021491318</c:v>
                </c:pt>
                <c:pt idx="7">
                  <c:v>2.275020507789197</c:v>
                </c:pt>
                <c:pt idx="8">
                  <c:v>2.1670325616797714</c:v>
                </c:pt>
                <c:pt idx="9">
                  <c:v>1.9893806977210382</c:v>
                </c:pt>
                <c:pt idx="10">
                  <c:v>1.7576366059332327</c:v>
                </c:pt>
                <c:pt idx="11">
                  <c:v>2.0813520256479383</c:v>
                </c:pt>
                <c:pt idx="12">
                  <c:v>1.6383755180581845</c:v>
                </c:pt>
                <c:pt idx="13">
                  <c:v>1.301566979738676</c:v>
                </c:pt>
                <c:pt idx="14">
                  <c:v>1.3969277688302733</c:v>
                </c:pt>
                <c:pt idx="15">
                  <c:v>1.4629278938210579</c:v>
                </c:pt>
                <c:pt idx="16">
                  <c:v>1.5211777926856205</c:v>
                </c:pt>
                <c:pt idx="17">
                  <c:v>1.5692609003613098</c:v>
                </c:pt>
                <c:pt idx="18">
                  <c:v>1.5850542112115125</c:v>
                </c:pt>
                <c:pt idx="19">
                  <c:v>1.5883259320325718</c:v>
                </c:pt>
                <c:pt idx="20">
                  <c:v>1.5943826746268348</c:v>
                </c:pt>
                <c:pt idx="21">
                  <c:v>11.092580553618212</c:v>
                </c:pt>
                <c:pt idx="22">
                  <c:v>9.8955342607776799</c:v>
                </c:pt>
                <c:pt idx="23">
                  <c:v>9.0404364177275713</c:v>
                </c:pt>
                <c:pt idx="24">
                  <c:v>8.5167141309077596</c:v>
                </c:pt>
                <c:pt idx="25">
                  <c:v>8.0072599497825223</c:v>
                </c:pt>
                <c:pt idx="26">
                  <c:v>7.5582813221867919</c:v>
                </c:pt>
                <c:pt idx="27">
                  <c:v>6.9397025735530242</c:v>
                </c:pt>
                <c:pt idx="28">
                  <c:v>6.118656427273546</c:v>
                </c:pt>
                <c:pt idx="29">
                  <c:v>8.3064566433099163</c:v>
                </c:pt>
                <c:pt idx="30">
                  <c:v>7.0113521987599334</c:v>
                </c:pt>
                <c:pt idx="31">
                  <c:v>6.1134864294844347</c:v>
                </c:pt>
                <c:pt idx="32">
                  <c:v>5.8145145233241786</c:v>
                </c:pt>
                <c:pt idx="33">
                  <c:v>5.2606698539081069</c:v>
                </c:pt>
                <c:pt idx="34">
                  <c:v>4.9116710304210294</c:v>
                </c:pt>
                <c:pt idx="35">
                  <c:v>4.8822642153188847</c:v>
                </c:pt>
                <c:pt idx="36">
                  <c:v>4.5516360481597644</c:v>
                </c:pt>
                <c:pt idx="37">
                  <c:v>4.1213621517405521</c:v>
                </c:pt>
                <c:pt idx="38">
                  <c:v>3.8092318514308556</c:v>
                </c:pt>
                <c:pt idx="39">
                  <c:v>3.5163778361350944</c:v>
                </c:pt>
                <c:pt idx="40">
                  <c:v>3.24048506398365</c:v>
                </c:pt>
                <c:pt idx="41">
                  <c:v>2.9189599494855583</c:v>
                </c:pt>
                <c:pt idx="42">
                  <c:v>2.5808505501503607</c:v>
                </c:pt>
                <c:pt idx="43">
                  <c:v>2.3519586728448876</c:v>
                </c:pt>
                <c:pt idx="44">
                  <c:v>2.0856855939639476</c:v>
                </c:pt>
                <c:pt idx="45">
                  <c:v>1.737526136868444</c:v>
                </c:pt>
                <c:pt idx="46">
                  <c:v>2.1581221560806143</c:v>
                </c:pt>
                <c:pt idx="47">
                  <c:v>1.9355940698117695</c:v>
                </c:pt>
                <c:pt idx="48">
                  <c:v>1.6699859359256088</c:v>
                </c:pt>
                <c:pt idx="49">
                  <c:v>1.4368970633372289</c:v>
                </c:pt>
                <c:pt idx="50">
                  <c:v>1.182934604369682</c:v>
                </c:pt>
                <c:pt idx="51">
                  <c:v>0.94554868958155591</c:v>
                </c:pt>
                <c:pt idx="52">
                  <c:v>0.77912608053754384</c:v>
                </c:pt>
                <c:pt idx="53">
                  <c:v>0.731445778712427</c:v>
                </c:pt>
                <c:pt idx="54">
                  <c:v>0.67579506115823962</c:v>
                </c:pt>
                <c:pt idx="55">
                  <c:v>0.62480430163033729</c:v>
                </c:pt>
                <c:pt idx="56">
                  <c:v>0.59582335840551681</c:v>
                </c:pt>
                <c:pt idx="57">
                  <c:v>0.53915095683522207</c:v>
                </c:pt>
                <c:pt idx="58">
                  <c:v>0.45169833172880242</c:v>
                </c:pt>
                <c:pt idx="59">
                  <c:v>0.41004226378128111</c:v>
                </c:pt>
                <c:pt idx="60">
                  <c:v>0.41133147315723678</c:v>
                </c:pt>
                <c:pt idx="61">
                  <c:v>0.35742428574633239</c:v>
                </c:pt>
                <c:pt idx="62">
                  <c:v>0.30293254396205604</c:v>
                </c:pt>
                <c:pt idx="63">
                  <c:v>0.22979510080584623</c:v>
                </c:pt>
                <c:pt idx="64">
                  <c:v>0.18217948206844953</c:v>
                </c:pt>
                <c:pt idx="65">
                  <c:v>0.17578910626412847</c:v>
                </c:pt>
                <c:pt idx="66">
                  <c:v>0.15702357081353618</c:v>
                </c:pt>
                <c:pt idx="67">
                  <c:v>0.14663968841507805</c:v>
                </c:pt>
                <c:pt idx="68">
                  <c:v>0.14392463857968851</c:v>
                </c:pt>
                <c:pt idx="69">
                  <c:v>0.18397132561105373</c:v>
                </c:pt>
                <c:pt idx="70">
                  <c:v>0.18418842664639978</c:v>
                </c:pt>
                <c:pt idx="71">
                  <c:v>0.25409948977951036</c:v>
                </c:pt>
                <c:pt idx="72">
                  <c:v>0.3353662810004952</c:v>
                </c:pt>
                <c:pt idx="73">
                  <c:v>0.40069968602166423</c:v>
                </c:pt>
                <c:pt idx="74">
                  <c:v>0.4531760320558475</c:v>
                </c:pt>
                <c:pt idx="75">
                  <c:v>0.50728293111792044</c:v>
                </c:pt>
                <c:pt idx="76">
                  <c:v>0.57502883108270497</c:v>
                </c:pt>
                <c:pt idx="77">
                  <c:v>0.66797018856165979</c:v>
                </c:pt>
                <c:pt idx="78">
                  <c:v>0.70648282458299971</c:v>
                </c:pt>
                <c:pt idx="79">
                  <c:v>0.74375242918401008</c:v>
                </c:pt>
                <c:pt idx="80">
                  <c:v>0.77226052215476337</c:v>
                </c:pt>
                <c:pt idx="81">
                  <c:v>0.7918894137955117</c:v>
                </c:pt>
                <c:pt idx="82">
                  <c:v>0.82558293997869714</c:v>
                </c:pt>
                <c:pt idx="83">
                  <c:v>0.85044775478143053</c:v>
                </c:pt>
                <c:pt idx="84">
                  <c:v>0.8373711880026069</c:v>
                </c:pt>
                <c:pt idx="85">
                  <c:v>0.84223496189654068</c:v>
                </c:pt>
                <c:pt idx="86">
                  <c:v>1.2030271725678725</c:v>
                </c:pt>
                <c:pt idx="87">
                  <c:v>1.2267382778340661</c:v>
                </c:pt>
                <c:pt idx="88">
                  <c:v>1.2151555855374847</c:v>
                </c:pt>
                <c:pt idx="89">
                  <c:v>1.2491055143151844</c:v>
                </c:pt>
                <c:pt idx="90">
                  <c:v>1.2628831780802703</c:v>
                </c:pt>
                <c:pt idx="91">
                  <c:v>1.2561788593659045</c:v>
                </c:pt>
                <c:pt idx="92">
                  <c:v>1.2165380432467008</c:v>
                </c:pt>
                <c:pt idx="93">
                  <c:v>1.1609537421870437</c:v>
                </c:pt>
                <c:pt idx="94">
                  <c:v>1.1035233025070486</c:v>
                </c:pt>
                <c:pt idx="95">
                  <c:v>1.0699574870336226</c:v>
                </c:pt>
                <c:pt idx="96">
                  <c:v>1.0559500270342699</c:v>
                </c:pt>
                <c:pt idx="97">
                  <c:v>1.0457391579176785</c:v>
                </c:pt>
                <c:pt idx="98">
                  <c:v>1.0395107380272821</c:v>
                </c:pt>
                <c:pt idx="99">
                  <c:v>1.035238864919658</c:v>
                </c:pt>
                <c:pt idx="100">
                  <c:v>1.0286286757751182</c:v>
                </c:pt>
                <c:pt idx="101">
                  <c:v>1.0355074534587345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E9-4830-B8DA-ED46BF13EAC1}"/>
            </c:ext>
          </c:extLst>
        </c:ser>
        <c:ser>
          <c:idx val="5"/>
          <c:order val="2"/>
          <c:tx>
            <c:strRef>
              <c:f>DailyO!$BD$1</c:f>
              <c:strCache>
                <c:ptCount val="1"/>
                <c:pt idx="0">
                  <c:v>NUP</c:v>
                </c:pt>
              </c:strCache>
            </c:strRef>
          </c:tx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</c:numCache>
            </c:numRef>
          </c:xVal>
          <c:yVal>
            <c:numRef>
              <c:f>DailyO!$BD$2:$BD$307</c:f>
              <c:numCache>
                <c:formatCode>0.00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9.3056865739851776E-3</c:v>
                </c:pt>
                <c:pt idx="5">
                  <c:v>8.0510132331362925E-3</c:v>
                </c:pt>
                <c:pt idx="6">
                  <c:v>1.2715894950859574E-2</c:v>
                </c:pt>
                <c:pt idx="7">
                  <c:v>1.8065099126303379E-2</c:v>
                </c:pt>
                <c:pt idx="8">
                  <c:v>2.4029152389348638E-2</c:v>
                </c:pt>
                <c:pt idx="9">
                  <c:v>3.1690406254086118E-2</c:v>
                </c:pt>
                <c:pt idx="10">
                  <c:v>3.8522221740747736E-2</c:v>
                </c:pt>
                <c:pt idx="11">
                  <c:v>4.3400563233404625E-2</c:v>
                </c:pt>
                <c:pt idx="12">
                  <c:v>6.0223235450468336E-2</c:v>
                </c:pt>
                <c:pt idx="13">
                  <c:v>7.0917448078184814E-2</c:v>
                </c:pt>
                <c:pt idx="14">
                  <c:v>7.6291389127772363E-2</c:v>
                </c:pt>
                <c:pt idx="15">
                  <c:v>9.8128273315932879E-2</c:v>
                </c:pt>
                <c:pt idx="16">
                  <c:v>0.10650235808005003</c:v>
                </c:pt>
                <c:pt idx="17">
                  <c:v>0.1287264620639032</c:v>
                </c:pt>
                <c:pt idx="18">
                  <c:v>0.1497730853378631</c:v>
                </c:pt>
                <c:pt idx="19">
                  <c:v>0.15744293940822301</c:v>
                </c:pt>
                <c:pt idx="20">
                  <c:v>0.16158931668669063</c:v>
                </c:pt>
                <c:pt idx="21">
                  <c:v>0.18454139572545539</c:v>
                </c:pt>
                <c:pt idx="22">
                  <c:v>0.2230109572694384</c:v>
                </c:pt>
                <c:pt idx="23">
                  <c:v>0.22016689232920583</c:v>
                </c:pt>
                <c:pt idx="24">
                  <c:v>0.27706153632916447</c:v>
                </c:pt>
                <c:pt idx="25">
                  <c:v>0.28929894506376785</c:v>
                </c:pt>
                <c:pt idx="26">
                  <c:v>0.3023475490069355</c:v>
                </c:pt>
                <c:pt idx="27">
                  <c:v>0.34307546422628071</c:v>
                </c:pt>
                <c:pt idx="28">
                  <c:v>0.38760549032502856</c:v>
                </c:pt>
                <c:pt idx="29">
                  <c:v>0.6</c:v>
                </c:pt>
                <c:pt idx="30">
                  <c:v>0.55269442046206874</c:v>
                </c:pt>
                <c:pt idx="31">
                  <c:v>0.6</c:v>
                </c:pt>
                <c:pt idx="32">
                  <c:v>0.47346723422779624</c:v>
                </c:pt>
                <c:pt idx="33">
                  <c:v>0.57341055089012105</c:v>
                </c:pt>
                <c:pt idx="34">
                  <c:v>0.46678620353311234</c:v>
                </c:pt>
                <c:pt idx="35">
                  <c:v>0.43068722609459353</c:v>
                </c:pt>
                <c:pt idx="36">
                  <c:v>0.50681153187309125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0.6</c:v>
                </c:pt>
                <c:pt idx="44">
                  <c:v>0.6</c:v>
                </c:pt>
                <c:pt idx="45">
                  <c:v>0.6</c:v>
                </c:pt>
                <c:pt idx="46">
                  <c:v>0.6</c:v>
                </c:pt>
                <c:pt idx="47">
                  <c:v>0.6</c:v>
                </c:pt>
                <c:pt idx="48">
                  <c:v>0.6</c:v>
                </c:pt>
                <c:pt idx="49">
                  <c:v>0.6</c:v>
                </c:pt>
                <c:pt idx="50">
                  <c:v>0.6</c:v>
                </c:pt>
                <c:pt idx="51">
                  <c:v>0.6</c:v>
                </c:pt>
                <c:pt idx="52">
                  <c:v>0.6</c:v>
                </c:pt>
                <c:pt idx="53">
                  <c:v>0.42686054111418203</c:v>
                </c:pt>
                <c:pt idx="54">
                  <c:v>0.44321129431317791</c:v>
                </c:pt>
                <c:pt idx="55">
                  <c:v>0.3872328678939112</c:v>
                </c:pt>
                <c:pt idx="56">
                  <c:v>0.341753388149384</c:v>
                </c:pt>
                <c:pt idx="57">
                  <c:v>0.39160211039304921</c:v>
                </c:pt>
                <c:pt idx="58">
                  <c:v>0.37259138469876268</c:v>
                </c:pt>
                <c:pt idx="59">
                  <c:v>0.29694704565841384</c:v>
                </c:pt>
                <c:pt idx="60">
                  <c:v>0.27926968796469087</c:v>
                </c:pt>
                <c:pt idx="61">
                  <c:v>0.32286154863412114</c:v>
                </c:pt>
                <c:pt idx="62">
                  <c:v>0.21679825414705597</c:v>
                </c:pt>
                <c:pt idx="63">
                  <c:v>0.24396123306960374</c:v>
                </c:pt>
                <c:pt idx="64">
                  <c:v>0.22979510080584623</c:v>
                </c:pt>
                <c:pt idx="65">
                  <c:v>0.18217948206844953</c:v>
                </c:pt>
                <c:pt idx="66">
                  <c:v>0.17578910626412847</c:v>
                </c:pt>
                <c:pt idx="67">
                  <c:v>0.15702357081353618</c:v>
                </c:pt>
                <c:pt idx="68">
                  <c:v>0.14663968841507805</c:v>
                </c:pt>
                <c:pt idx="69">
                  <c:v>0</c:v>
                </c:pt>
                <c:pt idx="70">
                  <c:v>0.18397132561105373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E9-4830-B8DA-ED46BF13E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475663"/>
        <c:axId val="1"/>
      </c:scatterChart>
      <c:valAx>
        <c:axId val="1157475663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31415115163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 N m-2</a:t>
                </a:r>
              </a:p>
            </c:rich>
          </c:tx>
          <c:layout>
            <c:manualLayout>
              <c:xMode val="edge"/>
              <c:yMode val="edge"/>
              <c:x val="2.7522914775839936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7475663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8807515882944537"/>
          <c:y val="6.4748201438848921E-2"/>
          <c:w val="0.92966598801318057"/>
          <c:h val="0.22302158273381295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3</xdr:row>
          <xdr:rowOff>0</xdr:rowOff>
        </xdr:from>
        <xdr:to>
          <xdr:col>6</xdr:col>
          <xdr:colOff>752475</xdr:colOff>
          <xdr:row>26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AF0E632-1532-F917-2285-52996D303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Run!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5</xdr:col>
      <xdr:colOff>0</xdr:colOff>
      <xdr:row>16</xdr:row>
      <xdr:rowOff>0</xdr:rowOff>
    </xdr:to>
    <xdr:graphicFrame macro="">
      <xdr:nvGraphicFramePr>
        <xdr:cNvPr id="4196920" name="Chart 1">
          <a:extLst>
            <a:ext uri="{FF2B5EF4-FFF2-40B4-BE49-F238E27FC236}">
              <a16:creationId xmlns:a16="http://schemas.microsoft.com/office/drawing/2014/main" id="{11A3E43C-7CE9-F42F-5905-3C376E4726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10</xdr:col>
      <xdr:colOff>19050</xdr:colOff>
      <xdr:row>16</xdr:row>
      <xdr:rowOff>9525</xdr:rowOff>
    </xdr:to>
    <xdr:graphicFrame macro="">
      <xdr:nvGraphicFramePr>
        <xdr:cNvPr id="4196921" name="Chart 3">
          <a:extLst>
            <a:ext uri="{FF2B5EF4-FFF2-40B4-BE49-F238E27FC236}">
              <a16:creationId xmlns:a16="http://schemas.microsoft.com/office/drawing/2014/main" id="{CF2BD72B-52E6-0861-3C3F-B2EB3886D5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600075</xdr:colOff>
      <xdr:row>0</xdr:row>
      <xdr:rowOff>0</xdr:rowOff>
    </xdr:from>
    <xdr:to>
      <xdr:col>15</xdr:col>
      <xdr:colOff>19050</xdr:colOff>
      <xdr:row>16</xdr:row>
      <xdr:rowOff>19050</xdr:rowOff>
    </xdr:to>
    <xdr:graphicFrame macro="">
      <xdr:nvGraphicFramePr>
        <xdr:cNvPr id="4196922" name="Chart 4">
          <a:extLst>
            <a:ext uri="{FF2B5EF4-FFF2-40B4-BE49-F238E27FC236}">
              <a16:creationId xmlns:a16="http://schemas.microsoft.com/office/drawing/2014/main" id="{CC019BDD-8531-1CDE-0744-55EA0943B4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5</xdr:col>
      <xdr:colOff>47625</xdr:colOff>
      <xdr:row>32</xdr:row>
      <xdr:rowOff>38100</xdr:rowOff>
    </xdr:to>
    <xdr:graphicFrame macro="">
      <xdr:nvGraphicFramePr>
        <xdr:cNvPr id="4196923" name="Chart 6">
          <a:extLst>
            <a:ext uri="{FF2B5EF4-FFF2-40B4-BE49-F238E27FC236}">
              <a16:creationId xmlns:a16="http://schemas.microsoft.com/office/drawing/2014/main" id="{E70906D7-BBD7-D162-150E-EB224E462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9525</xdr:colOff>
      <xdr:row>15</xdr:row>
      <xdr:rowOff>142875</xdr:rowOff>
    </xdr:from>
    <xdr:to>
      <xdr:col>10</xdr:col>
      <xdr:colOff>76200</xdr:colOff>
      <xdr:row>32</xdr:row>
      <xdr:rowOff>38100</xdr:rowOff>
    </xdr:to>
    <xdr:graphicFrame macro="">
      <xdr:nvGraphicFramePr>
        <xdr:cNvPr id="4196924" name="Chart 8">
          <a:extLst>
            <a:ext uri="{FF2B5EF4-FFF2-40B4-BE49-F238E27FC236}">
              <a16:creationId xmlns:a16="http://schemas.microsoft.com/office/drawing/2014/main" id="{722704BE-897F-F4BA-7401-166935E497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15</xdr:col>
      <xdr:colOff>66675</xdr:colOff>
      <xdr:row>32</xdr:row>
      <xdr:rowOff>57150</xdr:rowOff>
    </xdr:to>
    <xdr:graphicFrame macro="">
      <xdr:nvGraphicFramePr>
        <xdr:cNvPr id="4196925" name="Chart 1835">
          <a:extLst>
            <a:ext uri="{FF2B5EF4-FFF2-40B4-BE49-F238E27FC236}">
              <a16:creationId xmlns:a16="http://schemas.microsoft.com/office/drawing/2014/main" id="{B41ED40A-6704-4504-27B4-E62F770BF3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5</xdr:col>
      <xdr:colOff>66675</xdr:colOff>
      <xdr:row>48</xdr:row>
      <xdr:rowOff>57150</xdr:rowOff>
    </xdr:to>
    <xdr:graphicFrame macro="">
      <xdr:nvGraphicFramePr>
        <xdr:cNvPr id="4196926" name="Chart 1836">
          <a:extLst>
            <a:ext uri="{FF2B5EF4-FFF2-40B4-BE49-F238E27FC236}">
              <a16:creationId xmlns:a16="http://schemas.microsoft.com/office/drawing/2014/main" id="{154D6EC3-F2DB-2673-DB32-0C9DD959AE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32</xdr:row>
      <xdr:rowOff>0</xdr:rowOff>
    </xdr:from>
    <xdr:to>
      <xdr:col>10</xdr:col>
      <xdr:colOff>66675</xdr:colOff>
      <xdr:row>48</xdr:row>
      <xdr:rowOff>57150</xdr:rowOff>
    </xdr:to>
    <xdr:graphicFrame macro="">
      <xdr:nvGraphicFramePr>
        <xdr:cNvPr id="4196927" name="Chart 1837">
          <a:extLst>
            <a:ext uri="{FF2B5EF4-FFF2-40B4-BE49-F238E27FC236}">
              <a16:creationId xmlns:a16="http://schemas.microsoft.com/office/drawing/2014/main" id="{65A11EB1-C607-AEE2-DA4B-C3624C0F8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32</xdr:row>
      <xdr:rowOff>0</xdr:rowOff>
    </xdr:from>
    <xdr:to>
      <xdr:col>15</xdr:col>
      <xdr:colOff>66675</xdr:colOff>
      <xdr:row>48</xdr:row>
      <xdr:rowOff>57150</xdr:rowOff>
    </xdr:to>
    <xdr:graphicFrame macro="">
      <xdr:nvGraphicFramePr>
        <xdr:cNvPr id="4196928" name="Chart 1838">
          <a:extLst>
            <a:ext uri="{FF2B5EF4-FFF2-40B4-BE49-F238E27FC236}">
              <a16:creationId xmlns:a16="http://schemas.microsoft.com/office/drawing/2014/main" id="{DEEA91DB-099C-5F21-D005-8B11ECD0C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57150</xdr:colOff>
      <xdr:row>32</xdr:row>
      <xdr:rowOff>0</xdr:rowOff>
    </xdr:from>
    <xdr:to>
      <xdr:col>20</xdr:col>
      <xdr:colOff>66675</xdr:colOff>
      <xdr:row>48</xdr:row>
      <xdr:rowOff>57150</xdr:rowOff>
    </xdr:to>
    <xdr:graphicFrame macro="">
      <xdr:nvGraphicFramePr>
        <xdr:cNvPr id="4196929" name="Chart 1839">
          <a:extLst>
            <a:ext uri="{FF2B5EF4-FFF2-40B4-BE49-F238E27FC236}">
              <a16:creationId xmlns:a16="http://schemas.microsoft.com/office/drawing/2014/main" id="{2526271B-57F3-6688-5DDB-B4C2E6F60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0E983-3EFC-4934-B1BA-16B9281A3162}">
  <sheetPr codeName="Sheet1"/>
  <dimension ref="A1:Q113"/>
  <sheetViews>
    <sheetView tabSelected="1" zoomScale="80" zoomScaleNormal="80" workbookViewId="0">
      <pane ySplit="3" topLeftCell="A4" activePane="bottomLeft" state="frozen"/>
      <selection pane="bottomLeft" activeCell="B26" sqref="B26"/>
    </sheetView>
  </sheetViews>
  <sheetFormatPr defaultRowHeight="12.75" x14ac:dyDescent="0.2"/>
  <cols>
    <col min="1" max="1" width="20.7109375" customWidth="1"/>
    <col min="2" max="5" width="17.7109375" customWidth="1"/>
    <col min="6" max="6" width="8.7109375" customWidth="1"/>
    <col min="7" max="7" width="12.5703125" customWidth="1"/>
    <col min="8" max="8" width="41.42578125" customWidth="1"/>
    <col min="9" max="9" width="11.5703125" customWidth="1"/>
    <col min="10" max="10" width="33.42578125" customWidth="1"/>
    <col min="11" max="13" width="9.7109375" customWidth="1"/>
  </cols>
  <sheetData>
    <row r="1" spans="1:17" ht="18" x14ac:dyDescent="0.25">
      <c r="A1" s="18" t="s">
        <v>833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7" ht="18" x14ac:dyDescent="0.25">
      <c r="A2" s="18" t="s">
        <v>834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7" s="10" customFormat="1" ht="15.75" customHeight="1" x14ac:dyDescent="0.25">
      <c r="A3" s="61" t="s">
        <v>835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7" ht="18" x14ac:dyDescent="0.25">
      <c r="A4" s="1" t="s">
        <v>702</v>
      </c>
      <c r="B4" s="9"/>
      <c r="C4" s="9"/>
      <c r="D4" s="9"/>
      <c r="E4" s="39"/>
      <c r="F4" s="39"/>
      <c r="G4" s="43"/>
      <c r="H4" s="24" t="s">
        <v>704</v>
      </c>
      <c r="I4" s="9"/>
      <c r="J4" s="9"/>
      <c r="K4" s="39"/>
      <c r="L4" s="9"/>
      <c r="M4" s="9"/>
    </row>
    <row r="5" spans="1:17" ht="15" x14ac:dyDescent="0.25">
      <c r="A5" s="62"/>
      <c r="B5" s="34"/>
      <c r="C5" s="34"/>
      <c r="D5" s="34"/>
      <c r="E5" s="11"/>
      <c r="F5" s="13"/>
      <c r="G5" s="43"/>
      <c r="H5" s="25" t="s">
        <v>22</v>
      </c>
      <c r="I5" s="21"/>
      <c r="J5" s="25" t="s">
        <v>70</v>
      </c>
      <c r="K5" s="46"/>
      <c r="L5" s="47"/>
      <c r="M5" s="12"/>
      <c r="N5" s="14"/>
      <c r="O5" s="14"/>
      <c r="P5" s="14"/>
      <c r="Q5" s="14"/>
    </row>
    <row r="6" spans="1:17" x14ac:dyDescent="0.2">
      <c r="A6" s="51" t="s">
        <v>696</v>
      </c>
      <c r="B6" s="13">
        <v>5</v>
      </c>
      <c r="C6" s="13"/>
      <c r="D6" s="13"/>
      <c r="E6" s="11"/>
      <c r="F6" s="13"/>
      <c r="G6" s="43"/>
      <c r="H6" s="26" t="s">
        <v>73</v>
      </c>
      <c r="I6" s="5">
        <v>4</v>
      </c>
      <c r="J6" s="26" t="s">
        <v>660</v>
      </c>
      <c r="K6" s="48">
        <v>6.0359969504600617</v>
      </c>
      <c r="L6" s="47"/>
      <c r="M6" s="13"/>
      <c r="N6" s="12"/>
      <c r="O6" s="13"/>
      <c r="P6" s="12"/>
      <c r="Q6" s="14"/>
    </row>
    <row r="7" spans="1:17" x14ac:dyDescent="0.2">
      <c r="A7" s="119" t="s">
        <v>697</v>
      </c>
      <c r="B7" s="119" t="s">
        <v>698</v>
      </c>
      <c r="C7" s="119" t="s">
        <v>699</v>
      </c>
      <c r="D7" s="119" t="s">
        <v>700</v>
      </c>
      <c r="E7" s="119" t="s">
        <v>701</v>
      </c>
      <c r="G7" s="43"/>
      <c r="H7" s="26" t="s">
        <v>767</v>
      </c>
      <c r="I7" s="5">
        <v>15</v>
      </c>
      <c r="J7" s="26" t="s">
        <v>661</v>
      </c>
      <c r="K7" s="48">
        <v>4.9893624522360511</v>
      </c>
      <c r="L7" s="47"/>
      <c r="M7" s="13"/>
      <c r="N7" s="12"/>
      <c r="O7" s="13"/>
      <c r="P7" s="12"/>
      <c r="Q7" s="14"/>
    </row>
    <row r="8" spans="1:17" x14ac:dyDescent="0.2">
      <c r="A8" s="13" t="s">
        <v>776</v>
      </c>
      <c r="B8" s="13">
        <v>5</v>
      </c>
      <c r="C8" s="34">
        <v>13</v>
      </c>
      <c r="D8" s="13">
        <v>5</v>
      </c>
      <c r="E8" s="34">
        <v>3</v>
      </c>
      <c r="F8" s="13"/>
      <c r="G8" s="43"/>
      <c r="H8" s="26" t="s">
        <v>822</v>
      </c>
      <c r="I8" s="5">
        <v>20</v>
      </c>
      <c r="J8" s="26" t="s">
        <v>662</v>
      </c>
      <c r="K8" s="48">
        <v>11.025359402696113</v>
      </c>
      <c r="L8" s="47"/>
      <c r="M8" s="13"/>
      <c r="N8" s="12"/>
      <c r="O8" s="12"/>
      <c r="P8" s="12"/>
      <c r="Q8" s="14"/>
    </row>
    <row r="9" spans="1:17" x14ac:dyDescent="0.2">
      <c r="A9" s="13" t="s">
        <v>778</v>
      </c>
      <c r="B9" s="13">
        <v>5</v>
      </c>
      <c r="C9" s="34">
        <v>36</v>
      </c>
      <c r="D9" s="13">
        <v>5</v>
      </c>
      <c r="E9" s="34">
        <v>3</v>
      </c>
      <c r="F9" s="13"/>
      <c r="G9" s="43"/>
      <c r="H9" s="26" t="s">
        <v>823</v>
      </c>
      <c r="I9" s="5">
        <v>43</v>
      </c>
      <c r="J9" s="26" t="s">
        <v>663</v>
      </c>
      <c r="K9" s="49">
        <v>11.004768169725349</v>
      </c>
      <c r="L9" s="42"/>
      <c r="M9" s="13"/>
      <c r="N9" s="12"/>
      <c r="O9" s="12"/>
      <c r="P9" s="12"/>
      <c r="Q9" s="14"/>
    </row>
    <row r="10" spans="1:17" x14ac:dyDescent="0.2">
      <c r="A10" s="13" t="s">
        <v>780</v>
      </c>
      <c r="B10" s="13">
        <v>9</v>
      </c>
      <c r="C10" s="34">
        <v>59</v>
      </c>
      <c r="D10" s="13">
        <v>5</v>
      </c>
      <c r="E10" s="34">
        <v>3</v>
      </c>
      <c r="F10" s="13"/>
      <c r="G10" s="43"/>
      <c r="H10" s="26" t="s">
        <v>824</v>
      </c>
      <c r="I10" s="5">
        <v>46</v>
      </c>
      <c r="J10" s="26" t="s">
        <v>664</v>
      </c>
      <c r="K10" s="49">
        <v>22.03012757242146</v>
      </c>
      <c r="L10" s="42"/>
      <c r="M10" s="13"/>
      <c r="N10" s="12"/>
      <c r="O10" s="12"/>
      <c r="P10" s="12"/>
      <c r="Q10" s="14"/>
    </row>
    <row r="11" spans="1:17" x14ac:dyDescent="0.2">
      <c r="A11" s="74" t="s">
        <v>771</v>
      </c>
      <c r="B11" s="74">
        <v>13</v>
      </c>
      <c r="C11" s="74">
        <v>105</v>
      </c>
      <c r="D11" s="74">
        <v>5</v>
      </c>
      <c r="E11" s="74">
        <v>3</v>
      </c>
      <c r="F11" s="13"/>
      <c r="G11" s="43"/>
      <c r="H11" s="26" t="s">
        <v>825</v>
      </c>
      <c r="I11" s="5">
        <v>46</v>
      </c>
      <c r="J11" s="26"/>
      <c r="K11" s="49"/>
      <c r="L11" s="42"/>
      <c r="M11" s="13"/>
      <c r="N11" s="12"/>
      <c r="O11" s="13"/>
      <c r="P11" s="12"/>
      <c r="Q11" s="14"/>
    </row>
    <row r="12" spans="1:17" ht="15" x14ac:dyDescent="0.25">
      <c r="A12" s="74" t="s">
        <v>774</v>
      </c>
      <c r="B12" s="74">
        <v>13</v>
      </c>
      <c r="C12" s="74">
        <v>128</v>
      </c>
      <c r="D12" s="74">
        <v>5</v>
      </c>
      <c r="E12" s="74">
        <v>3</v>
      </c>
      <c r="F12" s="13"/>
      <c r="G12" s="43"/>
      <c r="H12" s="26" t="s">
        <v>85</v>
      </c>
      <c r="I12" s="4">
        <v>54</v>
      </c>
      <c r="J12" s="25" t="s">
        <v>71</v>
      </c>
      <c r="K12" s="46"/>
      <c r="L12" s="42"/>
      <c r="M12" s="12"/>
      <c r="N12" s="12"/>
      <c r="O12" s="42"/>
      <c r="P12" s="12"/>
      <c r="Q12" s="14"/>
    </row>
    <row r="13" spans="1:17" x14ac:dyDescent="0.2">
      <c r="F13" s="13"/>
      <c r="G13" s="43"/>
      <c r="H13" s="26" t="s">
        <v>86</v>
      </c>
      <c r="I13" s="4">
        <v>89</v>
      </c>
      <c r="J13" s="26" t="s">
        <v>665</v>
      </c>
      <c r="K13" s="49">
        <v>5.6478333333333328</v>
      </c>
      <c r="L13" s="42"/>
      <c r="M13" s="12"/>
      <c r="N13" s="12"/>
      <c r="O13" s="42"/>
      <c r="P13" s="12"/>
      <c r="Q13" s="14"/>
    </row>
    <row r="14" spans="1:17" x14ac:dyDescent="0.2">
      <c r="F14" s="14"/>
      <c r="G14" s="43"/>
      <c r="H14" s="26" t="s">
        <v>709</v>
      </c>
      <c r="I14" s="4">
        <v>94</v>
      </c>
      <c r="J14" s="26" t="s">
        <v>666</v>
      </c>
      <c r="K14" s="49">
        <v>18.36</v>
      </c>
      <c r="L14" s="42"/>
      <c r="M14" s="12"/>
      <c r="N14" s="12"/>
      <c r="O14" s="42"/>
      <c r="P14" s="12"/>
      <c r="Q14" s="14"/>
    </row>
    <row r="15" spans="1:17" x14ac:dyDescent="0.2">
      <c r="F15" s="10"/>
      <c r="G15" s="43"/>
      <c r="H15" s="26" t="s">
        <v>710</v>
      </c>
      <c r="I15" s="4">
        <v>102</v>
      </c>
      <c r="J15" s="26" t="s">
        <v>667</v>
      </c>
      <c r="K15" s="49">
        <v>13.830799423026127</v>
      </c>
      <c r="L15" s="42"/>
      <c r="M15" s="12"/>
      <c r="N15" s="12"/>
      <c r="O15" s="12"/>
      <c r="P15" s="12"/>
      <c r="Q15" s="14"/>
    </row>
    <row r="16" spans="1:17" x14ac:dyDescent="0.2">
      <c r="A16" s="74" t="s">
        <v>786</v>
      </c>
      <c r="B16" s="74">
        <v>9</v>
      </c>
      <c r="C16" s="74">
        <v>82</v>
      </c>
      <c r="D16" s="74">
        <v>5</v>
      </c>
      <c r="E16" s="74">
        <v>3</v>
      </c>
      <c r="F16" s="10"/>
      <c r="G16" s="43"/>
      <c r="H16" s="26"/>
      <c r="I16" s="5"/>
      <c r="J16" s="26"/>
      <c r="K16" s="49"/>
      <c r="L16" s="42"/>
      <c r="M16" s="13"/>
      <c r="N16" s="12"/>
      <c r="O16" s="12"/>
      <c r="P16" s="12"/>
      <c r="Q16" s="14"/>
    </row>
    <row r="17" spans="1:17" ht="15" x14ac:dyDescent="0.25">
      <c r="A17" s="13" t="s">
        <v>827</v>
      </c>
      <c r="B17" s="13">
        <v>5</v>
      </c>
      <c r="C17" s="34">
        <v>151</v>
      </c>
      <c r="D17" s="13">
        <v>5</v>
      </c>
      <c r="E17" s="34">
        <v>3</v>
      </c>
      <c r="F17" s="10"/>
      <c r="G17" s="43"/>
      <c r="H17" s="25" t="s">
        <v>30</v>
      </c>
      <c r="I17" s="16"/>
      <c r="J17" s="26" t="s">
        <v>668</v>
      </c>
      <c r="K17" s="49">
        <v>3.358921767863047</v>
      </c>
      <c r="L17" s="42"/>
      <c r="M17" s="42"/>
      <c r="N17" s="12"/>
      <c r="O17" s="12"/>
      <c r="P17" s="12"/>
      <c r="Q17" s="14"/>
    </row>
    <row r="18" spans="1:17" x14ac:dyDescent="0.2">
      <c r="A18" s="13"/>
      <c r="B18" s="13"/>
      <c r="C18" s="34"/>
      <c r="D18" s="13"/>
      <c r="E18" s="34"/>
      <c r="F18" s="78"/>
      <c r="G18" s="43"/>
      <c r="H18" s="26" t="s">
        <v>653</v>
      </c>
      <c r="I18" s="36">
        <v>23.803341902313623</v>
      </c>
      <c r="J18" s="26" t="s">
        <v>669</v>
      </c>
      <c r="K18" s="49">
        <v>22.03012757242146</v>
      </c>
      <c r="L18" s="42"/>
      <c r="M18" s="42"/>
      <c r="N18" s="12"/>
      <c r="O18" s="12"/>
      <c r="P18" s="12"/>
      <c r="Q18" s="14"/>
    </row>
    <row r="19" spans="1:17" x14ac:dyDescent="0.2">
      <c r="A19" s="13"/>
      <c r="B19" s="13"/>
      <c r="C19" s="34"/>
      <c r="D19" s="13"/>
      <c r="E19" s="34"/>
      <c r="F19" s="78"/>
      <c r="G19" s="43"/>
      <c r="H19" s="26" t="s">
        <v>720</v>
      </c>
      <c r="I19" s="36">
        <v>6.7321785089237398</v>
      </c>
      <c r="J19" s="26" t="s">
        <v>670</v>
      </c>
      <c r="K19" s="49">
        <v>1.4076000000000002</v>
      </c>
      <c r="L19" s="42"/>
      <c r="M19" s="42"/>
      <c r="N19" s="12"/>
      <c r="O19" s="12"/>
      <c r="P19" s="12"/>
      <c r="Q19" s="14"/>
    </row>
    <row r="20" spans="1:17" x14ac:dyDescent="0.2">
      <c r="A20" s="13"/>
      <c r="B20" s="13"/>
      <c r="C20" s="13"/>
      <c r="D20" s="13"/>
      <c r="E20" s="13"/>
      <c r="F20" s="76"/>
      <c r="G20" s="43"/>
      <c r="H20" s="26" t="s">
        <v>721</v>
      </c>
      <c r="I20" s="4">
        <v>643.83380001683952</v>
      </c>
      <c r="J20" s="26" t="s">
        <v>671</v>
      </c>
      <c r="K20" s="49">
        <v>0.25122652707040505</v>
      </c>
      <c r="L20" s="47"/>
      <c r="M20" s="12"/>
      <c r="N20" s="12"/>
      <c r="O20" s="12"/>
      <c r="P20" s="12"/>
      <c r="Q20" s="14"/>
    </row>
    <row r="21" spans="1:17" x14ac:dyDescent="0.2">
      <c r="A21" s="13"/>
      <c r="B21" s="13"/>
      <c r="C21" s="34"/>
      <c r="D21" s="13"/>
      <c r="E21" s="34"/>
      <c r="F21" s="76"/>
      <c r="G21" s="43"/>
      <c r="H21" s="26"/>
      <c r="I21" s="4"/>
      <c r="J21" s="26" t="s">
        <v>672</v>
      </c>
      <c r="K21" s="49">
        <v>10.796076482102698</v>
      </c>
      <c r="L21" s="47"/>
      <c r="M21" s="12"/>
      <c r="N21" s="12"/>
      <c r="O21" s="12"/>
      <c r="P21" s="12"/>
      <c r="Q21" s="14"/>
    </row>
    <row r="22" spans="1:17" ht="15" x14ac:dyDescent="0.25">
      <c r="A22" s="13"/>
      <c r="B22" s="13"/>
      <c r="C22" s="13"/>
      <c r="D22" s="13"/>
      <c r="E22" s="13"/>
      <c r="F22" s="76"/>
      <c r="G22" s="43"/>
      <c r="H22" s="25" t="s">
        <v>31</v>
      </c>
      <c r="I22" s="17"/>
      <c r="J22" s="26"/>
      <c r="K22" s="49"/>
      <c r="L22" s="47"/>
      <c r="M22" s="12"/>
      <c r="N22" s="12"/>
      <c r="O22" s="12"/>
      <c r="P22" s="12"/>
      <c r="Q22" s="14"/>
    </row>
    <row r="23" spans="1:17" x14ac:dyDescent="0.2">
      <c r="A23" s="13"/>
      <c r="B23" s="13"/>
      <c r="C23" s="13"/>
      <c r="D23" s="13"/>
      <c r="E23" s="13"/>
      <c r="F23" s="15"/>
      <c r="G23" s="43"/>
      <c r="H23" s="26" t="s">
        <v>74</v>
      </c>
      <c r="I23" s="4">
        <v>1905.5875618572036</v>
      </c>
      <c r="J23" s="11"/>
      <c r="K23" s="67"/>
      <c r="L23" s="12"/>
      <c r="M23" s="12"/>
      <c r="N23" s="12"/>
      <c r="O23" s="12"/>
      <c r="P23" s="12"/>
      <c r="Q23" s="14"/>
    </row>
    <row r="24" spans="1:17" x14ac:dyDescent="0.2">
      <c r="A24" s="13"/>
      <c r="B24" s="13"/>
      <c r="C24" s="13"/>
      <c r="D24" s="13"/>
      <c r="E24" s="13"/>
      <c r="F24" s="15"/>
      <c r="G24" s="43"/>
      <c r="H24" s="26" t="s">
        <v>75</v>
      </c>
      <c r="I24" s="4">
        <v>1000.4334699750317</v>
      </c>
      <c r="J24" s="11"/>
      <c r="K24" s="67"/>
      <c r="L24" s="12"/>
      <c r="M24" s="12"/>
      <c r="N24" s="12"/>
      <c r="O24" s="12"/>
      <c r="P24" s="12"/>
      <c r="Q24" s="14"/>
    </row>
    <row r="25" spans="1:17" x14ac:dyDescent="0.2">
      <c r="A25" s="13"/>
      <c r="B25" s="13"/>
      <c r="C25" s="74"/>
      <c r="D25" s="13"/>
      <c r="E25" s="13"/>
      <c r="F25" s="15"/>
      <c r="G25" s="43"/>
      <c r="H25" s="26" t="s">
        <v>76</v>
      </c>
      <c r="I25" s="4">
        <v>52.499999999999993</v>
      </c>
      <c r="J25" s="11"/>
      <c r="K25" s="67"/>
      <c r="L25" s="12"/>
      <c r="M25" s="12"/>
      <c r="N25" s="12"/>
      <c r="O25" s="12"/>
      <c r="P25" s="12"/>
      <c r="Q25" s="14"/>
    </row>
    <row r="26" spans="1:17" x14ac:dyDescent="0.2">
      <c r="A26" s="13"/>
      <c r="B26" s="13"/>
      <c r="C26" s="74"/>
      <c r="D26" s="13"/>
      <c r="E26" s="13"/>
      <c r="F26" s="15"/>
      <c r="G26" s="43"/>
      <c r="H26" s="26"/>
      <c r="I26" s="4"/>
      <c r="J26" s="11"/>
      <c r="K26" s="67"/>
      <c r="L26" s="12"/>
      <c r="M26" s="12"/>
      <c r="N26" s="12"/>
      <c r="O26" s="12"/>
      <c r="P26" s="12"/>
      <c r="Q26" s="14"/>
    </row>
    <row r="27" spans="1:17" ht="15" x14ac:dyDescent="0.25">
      <c r="A27" s="13"/>
      <c r="B27" s="13"/>
      <c r="C27" s="34"/>
      <c r="D27" s="13"/>
      <c r="E27" s="13"/>
      <c r="F27" s="15"/>
      <c r="G27" s="43"/>
      <c r="H27" s="25" t="s">
        <v>38</v>
      </c>
      <c r="I27" s="17"/>
      <c r="J27" s="11"/>
      <c r="K27" s="122"/>
      <c r="L27" s="12"/>
      <c r="M27" s="12"/>
      <c r="N27" s="12"/>
      <c r="O27" s="12"/>
      <c r="P27" s="12"/>
      <c r="Q27" s="14"/>
    </row>
    <row r="28" spans="1:17" x14ac:dyDescent="0.2">
      <c r="A28" s="13"/>
      <c r="B28" s="13"/>
      <c r="C28" s="13"/>
      <c r="D28" s="13"/>
      <c r="E28" s="13"/>
      <c r="F28" s="15"/>
      <c r="G28" s="43"/>
      <c r="H28" s="26" t="s">
        <v>78</v>
      </c>
      <c r="I28" s="4">
        <v>138.45000000000005</v>
      </c>
      <c r="J28" s="11"/>
      <c r="K28" s="67"/>
      <c r="L28" s="12"/>
      <c r="M28" s="12"/>
      <c r="N28" s="12"/>
      <c r="O28" s="12"/>
      <c r="P28" s="12"/>
      <c r="Q28" s="14"/>
    </row>
    <row r="29" spans="1:17" x14ac:dyDescent="0.2">
      <c r="A29" s="13"/>
      <c r="B29" s="13"/>
      <c r="C29" s="13"/>
      <c r="D29" s="13"/>
      <c r="E29" s="13"/>
      <c r="F29" s="15"/>
      <c r="G29" s="43"/>
      <c r="H29" s="26" t="s">
        <v>79</v>
      </c>
      <c r="I29" s="4">
        <v>144.19999999999999</v>
      </c>
      <c r="J29" s="14"/>
      <c r="K29" s="67"/>
      <c r="L29" s="12"/>
      <c r="M29" s="12"/>
      <c r="N29" s="12"/>
      <c r="O29" s="12"/>
      <c r="P29" s="12"/>
      <c r="Q29" s="14"/>
    </row>
    <row r="30" spans="1:17" x14ac:dyDescent="0.2">
      <c r="A30" s="13"/>
      <c r="B30" s="13"/>
      <c r="C30" s="13"/>
      <c r="D30" s="13"/>
      <c r="E30" s="13"/>
      <c r="F30" s="13"/>
      <c r="G30" s="43"/>
      <c r="H30" s="26" t="s">
        <v>80</v>
      </c>
      <c r="I30" s="22">
        <v>323.61650845737046</v>
      </c>
      <c r="J30" s="14"/>
      <c r="K30" s="67"/>
      <c r="L30" s="12"/>
      <c r="M30" s="12"/>
      <c r="N30" s="12"/>
      <c r="O30" s="12"/>
      <c r="P30" s="12"/>
      <c r="Q30" s="14"/>
    </row>
    <row r="31" spans="1:17" x14ac:dyDescent="0.2">
      <c r="A31" s="13"/>
      <c r="B31" s="13"/>
      <c r="C31" s="13"/>
      <c r="D31" s="13"/>
      <c r="E31" s="13"/>
      <c r="F31" s="14"/>
      <c r="G31" s="43"/>
      <c r="H31" s="26" t="s">
        <v>77</v>
      </c>
      <c r="I31" s="22">
        <v>6</v>
      </c>
      <c r="J31" s="14"/>
      <c r="K31" s="67"/>
      <c r="L31" s="12"/>
      <c r="M31" s="12"/>
      <c r="N31" s="12"/>
      <c r="O31" s="12"/>
      <c r="P31" s="12"/>
      <c r="Q31" s="14"/>
    </row>
    <row r="32" spans="1:17" x14ac:dyDescent="0.2">
      <c r="A32" s="13"/>
      <c r="B32" s="13"/>
      <c r="C32" s="13"/>
      <c r="D32" s="13"/>
      <c r="E32" s="13"/>
      <c r="G32" s="43"/>
      <c r="H32" s="26"/>
      <c r="I32" s="22"/>
      <c r="J32" s="14"/>
      <c r="K32" s="67"/>
      <c r="L32" s="12"/>
      <c r="M32" s="12"/>
      <c r="N32" s="12"/>
      <c r="O32" s="12"/>
      <c r="P32" s="12"/>
      <c r="Q32" s="14"/>
    </row>
    <row r="33" spans="1:17" x14ac:dyDescent="0.2">
      <c r="A33" s="13"/>
      <c r="B33" s="13"/>
      <c r="C33" s="13"/>
      <c r="D33" s="13"/>
      <c r="E33" s="13"/>
      <c r="F33" s="14"/>
      <c r="G33" s="43"/>
      <c r="H33" s="26" t="s">
        <v>81</v>
      </c>
      <c r="I33" s="22">
        <v>149.05711080667498</v>
      </c>
      <c r="J33" s="14"/>
      <c r="K33" s="67"/>
      <c r="L33" s="12"/>
      <c r="M33" s="12"/>
      <c r="N33" s="12"/>
      <c r="O33" s="12"/>
      <c r="P33" s="12"/>
      <c r="Q33" s="14"/>
    </row>
    <row r="34" spans="1:17" x14ac:dyDescent="0.2">
      <c r="A34" s="13"/>
      <c r="B34" s="13"/>
      <c r="C34" s="13"/>
      <c r="D34" s="13"/>
      <c r="E34" s="13"/>
      <c r="F34" s="14"/>
      <c r="G34" s="43"/>
      <c r="H34" s="26" t="s">
        <v>87</v>
      </c>
      <c r="I34" s="22">
        <v>0</v>
      </c>
      <c r="J34" s="14"/>
      <c r="K34" s="67"/>
      <c r="L34" s="12"/>
      <c r="M34" s="12"/>
      <c r="N34" s="12"/>
      <c r="O34" s="12"/>
      <c r="P34" s="12"/>
      <c r="Q34" s="14"/>
    </row>
    <row r="35" spans="1:17" x14ac:dyDescent="0.2">
      <c r="A35" s="13"/>
      <c r="B35" s="13"/>
      <c r="C35" s="13"/>
      <c r="D35" s="13"/>
      <c r="E35" s="13"/>
      <c r="F35" s="14"/>
      <c r="G35" s="43"/>
      <c r="H35" s="26" t="s">
        <v>82</v>
      </c>
      <c r="I35" s="22">
        <v>104.79336860933763</v>
      </c>
      <c r="J35" s="14"/>
      <c r="K35" s="67"/>
      <c r="L35" s="42"/>
      <c r="M35" s="12"/>
      <c r="N35" s="12"/>
      <c r="O35" s="42"/>
      <c r="P35" s="12"/>
      <c r="Q35" s="14"/>
    </row>
    <row r="36" spans="1:17" x14ac:dyDescent="0.2">
      <c r="A36" s="13"/>
      <c r="B36" s="13"/>
      <c r="C36" s="13"/>
      <c r="D36" s="13"/>
      <c r="E36" s="13"/>
      <c r="F36" s="14"/>
      <c r="G36" s="43"/>
      <c r="H36" s="26" t="s">
        <v>88</v>
      </c>
      <c r="I36" s="22">
        <v>305.65096122940037</v>
      </c>
      <c r="J36" s="14"/>
      <c r="K36" s="67"/>
      <c r="L36" s="14"/>
      <c r="M36" s="12"/>
      <c r="N36" s="14"/>
      <c r="O36" s="14"/>
      <c r="P36" s="14"/>
      <c r="Q36" s="14"/>
    </row>
    <row r="37" spans="1:17" x14ac:dyDescent="0.2">
      <c r="F37" s="14"/>
      <c r="G37" s="43"/>
      <c r="H37" s="26" t="s">
        <v>89</v>
      </c>
      <c r="I37" s="22">
        <v>42.130984672698112</v>
      </c>
      <c r="J37" s="14"/>
      <c r="K37" s="67"/>
      <c r="L37" s="10"/>
      <c r="M37" s="12"/>
      <c r="N37" s="14"/>
      <c r="O37" s="14"/>
      <c r="P37" s="14"/>
      <c r="Q37" s="14"/>
    </row>
    <row r="38" spans="1:17" x14ac:dyDescent="0.2">
      <c r="F38" s="14"/>
      <c r="G38" s="43"/>
      <c r="H38" s="26"/>
      <c r="I38" s="22"/>
      <c r="J38" s="14"/>
      <c r="K38" s="67"/>
      <c r="M38" s="14"/>
      <c r="N38" s="14"/>
      <c r="O38" s="14"/>
      <c r="P38" s="14"/>
      <c r="Q38" s="14"/>
    </row>
    <row r="39" spans="1:17" x14ac:dyDescent="0.2">
      <c r="F39" s="13"/>
      <c r="G39" s="43"/>
      <c r="H39" s="26" t="s">
        <v>83</v>
      </c>
      <c r="I39" s="22">
        <v>410.44432983873799</v>
      </c>
      <c r="J39" s="14"/>
      <c r="K39" s="68"/>
      <c r="M39" s="14"/>
    </row>
    <row r="40" spans="1:17" x14ac:dyDescent="0.2">
      <c r="F40" s="14"/>
      <c r="H40" s="26" t="s">
        <v>17</v>
      </c>
      <c r="I40" s="23">
        <v>0.25531688644643641</v>
      </c>
      <c r="K40" s="69"/>
      <c r="M40" s="14"/>
    </row>
    <row r="41" spans="1:17" x14ac:dyDescent="0.2">
      <c r="F41" s="14"/>
      <c r="H41" s="26"/>
      <c r="I41" s="22"/>
      <c r="M41" s="14"/>
    </row>
    <row r="42" spans="1:17" x14ac:dyDescent="0.2">
      <c r="F42" s="14"/>
      <c r="M42" s="14"/>
    </row>
    <row r="43" spans="1:17" x14ac:dyDescent="0.2">
      <c r="F43" s="14"/>
      <c r="M43" s="14"/>
    </row>
    <row r="44" spans="1:17" x14ac:dyDescent="0.2">
      <c r="F44" s="14"/>
      <c r="M44" s="14"/>
    </row>
    <row r="45" spans="1:17" x14ac:dyDescent="0.2">
      <c r="F45" s="14"/>
      <c r="M45" s="50"/>
    </row>
    <row r="46" spans="1:17" x14ac:dyDescent="0.2">
      <c r="F46" s="14"/>
      <c r="M46" s="50"/>
    </row>
    <row r="47" spans="1:17" x14ac:dyDescent="0.2">
      <c r="F47" s="14"/>
      <c r="M47" s="50"/>
    </row>
    <row r="48" spans="1:17" x14ac:dyDescent="0.2">
      <c r="F48" s="14"/>
      <c r="M48" s="50"/>
    </row>
    <row r="49" spans="1:13" x14ac:dyDescent="0.2">
      <c r="F49" s="14"/>
      <c r="M49" s="50"/>
    </row>
    <row r="50" spans="1:13" x14ac:dyDescent="0.2">
      <c r="A50" s="14"/>
      <c r="B50" s="14"/>
      <c r="C50" s="14"/>
      <c r="D50" s="14"/>
      <c r="E50" s="14"/>
      <c r="F50" s="14"/>
    </row>
    <row r="51" spans="1:13" x14ac:dyDescent="0.2">
      <c r="A51" s="14"/>
      <c r="B51" s="14"/>
      <c r="C51" s="14"/>
      <c r="D51" s="14"/>
      <c r="E51" s="14"/>
      <c r="F51" s="14"/>
    </row>
    <row r="52" spans="1:13" x14ac:dyDescent="0.2">
      <c r="A52" s="14"/>
      <c r="B52" s="14"/>
      <c r="C52" s="14"/>
      <c r="D52" s="14"/>
      <c r="E52" s="14"/>
      <c r="F52" s="14"/>
    </row>
    <row r="53" spans="1:13" x14ac:dyDescent="0.2">
      <c r="A53" s="14"/>
      <c r="B53" s="14"/>
      <c r="C53" s="14"/>
      <c r="D53" s="14"/>
      <c r="E53" s="14"/>
      <c r="F53" s="14"/>
    </row>
    <row r="54" spans="1:13" x14ac:dyDescent="0.2">
      <c r="A54" s="14"/>
      <c r="B54" s="14"/>
      <c r="C54" s="14"/>
      <c r="D54" s="14"/>
      <c r="E54" s="14"/>
      <c r="F54" s="14"/>
    </row>
    <row r="55" spans="1:13" x14ac:dyDescent="0.2">
      <c r="A55" s="14"/>
      <c r="B55" s="14"/>
      <c r="C55" s="14"/>
      <c r="D55" s="14"/>
      <c r="E55" s="14"/>
      <c r="F55" s="14"/>
    </row>
    <row r="56" spans="1:13" x14ac:dyDescent="0.2">
      <c r="A56" s="14"/>
      <c r="B56" s="14"/>
      <c r="C56" s="14"/>
      <c r="D56" s="14"/>
      <c r="E56" s="14"/>
      <c r="F56" s="14"/>
    </row>
    <row r="57" spans="1:13" x14ac:dyDescent="0.2">
      <c r="A57" s="14"/>
      <c r="B57" s="14"/>
      <c r="C57" s="14"/>
      <c r="D57" s="14"/>
      <c r="E57" s="14"/>
      <c r="F57" s="14"/>
    </row>
    <row r="58" spans="1:13" x14ac:dyDescent="0.2">
      <c r="A58" s="14"/>
      <c r="B58" s="14"/>
      <c r="C58" s="14"/>
      <c r="D58" s="14"/>
      <c r="E58" s="14"/>
      <c r="F58" s="14"/>
    </row>
    <row r="59" spans="1:13" x14ac:dyDescent="0.2">
      <c r="A59" s="14"/>
      <c r="B59" s="14"/>
      <c r="C59" s="14"/>
      <c r="D59" s="14"/>
      <c r="E59" s="14"/>
      <c r="F59" s="14"/>
    </row>
    <row r="60" spans="1:13" x14ac:dyDescent="0.2">
      <c r="A60" s="14"/>
      <c r="B60" s="14"/>
      <c r="C60" s="14"/>
      <c r="D60" s="14"/>
      <c r="E60" s="14"/>
      <c r="F60" s="14"/>
    </row>
    <row r="61" spans="1:13" x14ac:dyDescent="0.2">
      <c r="A61" s="14"/>
      <c r="B61" s="14"/>
      <c r="C61" s="14"/>
      <c r="D61" s="14"/>
      <c r="E61" s="14"/>
      <c r="F61" s="14"/>
    </row>
    <row r="62" spans="1:13" x14ac:dyDescent="0.2">
      <c r="A62" s="14"/>
      <c r="B62" s="14"/>
      <c r="C62" s="14"/>
      <c r="D62" s="14"/>
      <c r="E62" s="14"/>
      <c r="F62" s="14"/>
    </row>
    <row r="63" spans="1:13" x14ac:dyDescent="0.2">
      <c r="A63" s="14"/>
      <c r="B63" s="14"/>
      <c r="C63" s="14"/>
      <c r="D63" s="14"/>
      <c r="E63" s="14"/>
      <c r="F63" s="14"/>
    </row>
    <row r="64" spans="1:13" x14ac:dyDescent="0.2">
      <c r="A64" s="14"/>
      <c r="B64" s="14"/>
      <c r="C64" s="14"/>
      <c r="D64" s="14"/>
      <c r="E64" s="14"/>
      <c r="F64" s="14"/>
    </row>
    <row r="65" spans="1:6" x14ac:dyDescent="0.2">
      <c r="A65" s="14"/>
      <c r="B65" s="14"/>
      <c r="C65" s="14"/>
      <c r="D65" s="14"/>
      <c r="E65" s="14"/>
      <c r="F65" s="14"/>
    </row>
    <row r="66" spans="1:6" x14ac:dyDescent="0.2">
      <c r="A66" s="14"/>
      <c r="B66" s="14"/>
      <c r="C66" s="14"/>
      <c r="D66" s="14"/>
      <c r="E66" s="14"/>
      <c r="F66" s="14"/>
    </row>
    <row r="67" spans="1:6" x14ac:dyDescent="0.2">
      <c r="A67" s="14"/>
      <c r="B67" s="14"/>
      <c r="C67" s="14"/>
      <c r="D67" s="14"/>
      <c r="E67" s="14"/>
      <c r="F67" s="14"/>
    </row>
    <row r="68" spans="1:6" x14ac:dyDescent="0.2">
      <c r="A68" s="14"/>
      <c r="B68" s="14"/>
      <c r="C68" s="14"/>
      <c r="D68" s="14"/>
      <c r="E68" s="14"/>
      <c r="F68" s="14"/>
    </row>
    <row r="69" spans="1:6" x14ac:dyDescent="0.2">
      <c r="A69" s="14"/>
      <c r="B69" s="14"/>
      <c r="C69" s="14"/>
      <c r="D69" s="14"/>
      <c r="E69" s="14"/>
      <c r="F69" s="14"/>
    </row>
    <row r="70" spans="1:6" x14ac:dyDescent="0.2">
      <c r="A70" s="14"/>
      <c r="B70" s="14"/>
      <c r="C70" s="14"/>
      <c r="D70" s="14"/>
      <c r="E70" s="14"/>
      <c r="F70" s="14"/>
    </row>
    <row r="71" spans="1:6" x14ac:dyDescent="0.2">
      <c r="A71" s="14"/>
      <c r="B71" s="14"/>
      <c r="C71" s="14"/>
      <c r="D71" s="14"/>
      <c r="E71" s="14"/>
      <c r="F71" s="14"/>
    </row>
    <row r="72" spans="1:6" x14ac:dyDescent="0.2">
      <c r="A72" s="14"/>
      <c r="B72" s="14"/>
      <c r="C72" s="14"/>
      <c r="D72" s="14"/>
      <c r="E72" s="14"/>
      <c r="F72" s="14"/>
    </row>
    <row r="73" spans="1:6" x14ac:dyDescent="0.2">
      <c r="A73" s="14"/>
      <c r="B73" s="14"/>
      <c r="C73" s="14"/>
      <c r="D73" s="14"/>
      <c r="E73" s="14"/>
      <c r="F73" s="14"/>
    </row>
    <row r="74" spans="1:6" x14ac:dyDescent="0.2">
      <c r="A74" s="14"/>
      <c r="B74" s="14"/>
      <c r="C74" s="14"/>
      <c r="D74" s="14"/>
      <c r="E74" s="14"/>
      <c r="F74" s="14"/>
    </row>
    <row r="75" spans="1:6" x14ac:dyDescent="0.2">
      <c r="A75" s="14"/>
      <c r="B75" s="14"/>
      <c r="C75" s="14"/>
      <c r="D75" s="14"/>
      <c r="E75" s="14"/>
      <c r="F75" s="14"/>
    </row>
    <row r="76" spans="1:6" x14ac:dyDescent="0.2">
      <c r="A76" s="14"/>
      <c r="B76" s="14"/>
      <c r="C76" s="14"/>
      <c r="D76" s="14"/>
      <c r="E76" s="14"/>
      <c r="F76" s="14"/>
    </row>
    <row r="77" spans="1:6" x14ac:dyDescent="0.2">
      <c r="A77" s="14"/>
      <c r="B77" s="14"/>
      <c r="C77" s="14"/>
      <c r="D77" s="14"/>
      <c r="E77" s="14"/>
      <c r="F77" s="14"/>
    </row>
    <row r="78" spans="1:6" x14ac:dyDescent="0.2">
      <c r="A78" s="14"/>
      <c r="B78" s="14"/>
      <c r="C78" s="14"/>
      <c r="D78" s="14"/>
      <c r="E78" s="14"/>
      <c r="F78" s="14"/>
    </row>
    <row r="79" spans="1:6" x14ac:dyDescent="0.2">
      <c r="A79" s="14"/>
      <c r="B79" s="14"/>
      <c r="C79" s="14"/>
      <c r="D79" s="14"/>
      <c r="E79" s="14"/>
      <c r="F79" s="14"/>
    </row>
    <row r="80" spans="1:6" x14ac:dyDescent="0.2">
      <c r="A80" s="14"/>
      <c r="B80" s="14"/>
      <c r="C80" s="14"/>
      <c r="D80" s="14"/>
      <c r="E80" s="14"/>
      <c r="F80" s="14"/>
    </row>
    <row r="81" spans="1:6" x14ac:dyDescent="0.2">
      <c r="A81" s="14"/>
      <c r="B81" s="14"/>
      <c r="C81" s="14"/>
      <c r="D81" s="14"/>
      <c r="E81" s="14"/>
      <c r="F81" s="14"/>
    </row>
    <row r="82" spans="1:6" x14ac:dyDescent="0.2">
      <c r="A82" s="14"/>
      <c r="B82" s="14"/>
      <c r="C82" s="14"/>
      <c r="D82" s="14"/>
      <c r="E82" s="14"/>
      <c r="F82" s="14"/>
    </row>
    <row r="83" spans="1:6" x14ac:dyDescent="0.2">
      <c r="A83" s="14"/>
      <c r="B83" s="14"/>
      <c r="C83" s="14"/>
      <c r="D83" s="14"/>
      <c r="E83" s="14"/>
      <c r="F83" s="14"/>
    </row>
    <row r="84" spans="1:6" x14ac:dyDescent="0.2">
      <c r="A84" s="14"/>
      <c r="B84" s="14"/>
      <c r="C84" s="14"/>
      <c r="D84" s="14"/>
      <c r="E84" s="14"/>
      <c r="F84" s="14"/>
    </row>
    <row r="85" spans="1:6" x14ac:dyDescent="0.2">
      <c r="A85" s="14"/>
      <c r="B85" s="14"/>
      <c r="C85" s="14"/>
      <c r="D85" s="14"/>
      <c r="E85" s="14"/>
      <c r="F85" s="14"/>
    </row>
    <row r="86" spans="1:6" x14ac:dyDescent="0.2">
      <c r="A86" s="14"/>
      <c r="B86" s="14"/>
      <c r="C86" s="14"/>
      <c r="D86" s="14"/>
      <c r="E86" s="14"/>
      <c r="F86" s="14"/>
    </row>
    <row r="87" spans="1:6" x14ac:dyDescent="0.2">
      <c r="A87" s="14"/>
      <c r="B87" s="14"/>
      <c r="C87" s="14"/>
      <c r="D87" s="14"/>
      <c r="E87" s="14"/>
      <c r="F87" s="14"/>
    </row>
    <row r="88" spans="1:6" x14ac:dyDescent="0.2">
      <c r="A88" s="14"/>
      <c r="B88" s="14"/>
      <c r="C88" s="14"/>
      <c r="D88" s="14"/>
      <c r="E88" s="14"/>
      <c r="F88" s="14"/>
    </row>
    <row r="89" spans="1:6" x14ac:dyDescent="0.2">
      <c r="A89" s="14"/>
      <c r="B89" s="14"/>
      <c r="C89" s="14"/>
      <c r="D89" s="14"/>
      <c r="E89" s="14"/>
      <c r="F89" s="14"/>
    </row>
    <row r="90" spans="1:6" x14ac:dyDescent="0.2">
      <c r="A90" s="14"/>
      <c r="B90" s="14"/>
      <c r="C90" s="14"/>
      <c r="D90" s="14"/>
      <c r="E90" s="14"/>
      <c r="F90" s="14"/>
    </row>
    <row r="91" spans="1:6" x14ac:dyDescent="0.2">
      <c r="A91" s="14"/>
      <c r="B91" s="14"/>
      <c r="C91" s="14"/>
      <c r="D91" s="14"/>
      <c r="E91" s="14"/>
      <c r="F91" s="14"/>
    </row>
    <row r="92" spans="1:6" x14ac:dyDescent="0.2">
      <c r="A92" s="14"/>
      <c r="B92" s="14"/>
      <c r="C92" s="14"/>
      <c r="D92" s="14"/>
      <c r="E92" s="14"/>
      <c r="F92" s="14"/>
    </row>
    <row r="93" spans="1:6" x14ac:dyDescent="0.2">
      <c r="A93" s="14"/>
      <c r="B93" s="14"/>
      <c r="C93" s="14"/>
      <c r="D93" s="14"/>
      <c r="E93" s="14"/>
      <c r="F93" s="14"/>
    </row>
    <row r="94" spans="1:6" x14ac:dyDescent="0.2">
      <c r="A94" s="14"/>
      <c r="B94" s="14"/>
      <c r="C94" s="14"/>
      <c r="D94" s="14"/>
      <c r="E94" s="14"/>
      <c r="F94" s="14"/>
    </row>
    <row r="95" spans="1:6" x14ac:dyDescent="0.2">
      <c r="A95" s="14"/>
      <c r="B95" s="14"/>
      <c r="C95" s="14"/>
      <c r="D95" s="14"/>
      <c r="E95" s="14"/>
      <c r="F95" s="14"/>
    </row>
    <row r="96" spans="1:6" x14ac:dyDescent="0.2">
      <c r="A96" s="14"/>
      <c r="B96" s="14"/>
      <c r="C96" s="14"/>
      <c r="D96" s="14"/>
      <c r="E96" s="14"/>
      <c r="F96" s="14"/>
    </row>
    <row r="97" spans="1:6" x14ac:dyDescent="0.2">
      <c r="A97" s="14"/>
      <c r="B97" s="14"/>
      <c r="C97" s="14"/>
      <c r="D97" s="14"/>
      <c r="E97" s="14"/>
      <c r="F97" s="14"/>
    </row>
    <row r="98" spans="1:6" x14ac:dyDescent="0.2">
      <c r="A98" s="14"/>
      <c r="B98" s="14"/>
      <c r="C98" s="14"/>
      <c r="D98" s="14"/>
      <c r="E98" s="14"/>
      <c r="F98" s="14"/>
    </row>
    <row r="99" spans="1:6" x14ac:dyDescent="0.2">
      <c r="A99" s="14"/>
      <c r="B99" s="14"/>
      <c r="C99" s="14"/>
      <c r="D99" s="14"/>
      <c r="E99" s="14"/>
      <c r="F99" s="14"/>
    </row>
    <row r="100" spans="1:6" x14ac:dyDescent="0.2">
      <c r="A100" s="14"/>
      <c r="B100" s="14"/>
      <c r="C100" s="14"/>
      <c r="D100" s="14"/>
      <c r="E100" s="14"/>
      <c r="F100" s="14"/>
    </row>
    <row r="101" spans="1:6" x14ac:dyDescent="0.2">
      <c r="A101" s="14"/>
      <c r="B101" s="14"/>
      <c r="C101" s="14"/>
      <c r="D101" s="14"/>
      <c r="E101" s="14"/>
      <c r="F101" s="14"/>
    </row>
    <row r="102" spans="1:6" x14ac:dyDescent="0.2">
      <c r="A102" s="14"/>
      <c r="B102" s="14"/>
      <c r="C102" s="14"/>
      <c r="D102" s="14"/>
      <c r="E102" s="14"/>
      <c r="F102" s="14"/>
    </row>
    <row r="103" spans="1:6" x14ac:dyDescent="0.2">
      <c r="A103" s="14"/>
      <c r="B103" s="14"/>
      <c r="C103" s="14"/>
      <c r="D103" s="14"/>
      <c r="E103" s="14"/>
      <c r="F103" s="14"/>
    </row>
    <row r="104" spans="1:6" x14ac:dyDescent="0.2">
      <c r="A104" s="14"/>
      <c r="B104" s="14"/>
      <c r="C104" s="14"/>
      <c r="D104" s="14"/>
      <c r="E104" s="14"/>
      <c r="F104" s="14"/>
    </row>
    <row r="105" spans="1:6" x14ac:dyDescent="0.2">
      <c r="A105" s="14"/>
      <c r="B105" s="14"/>
      <c r="C105" s="14"/>
      <c r="D105" s="14"/>
      <c r="E105" s="14"/>
      <c r="F105" s="14"/>
    </row>
    <row r="106" spans="1:6" x14ac:dyDescent="0.2">
      <c r="A106" s="14"/>
      <c r="B106" s="14"/>
      <c r="C106" s="14"/>
      <c r="D106" s="14"/>
      <c r="E106" s="14"/>
      <c r="F106" s="14"/>
    </row>
    <row r="107" spans="1:6" x14ac:dyDescent="0.2">
      <c r="A107" s="14"/>
      <c r="B107" s="14"/>
      <c r="C107" s="14"/>
      <c r="D107" s="14"/>
      <c r="E107" s="14"/>
      <c r="F107" s="14"/>
    </row>
    <row r="108" spans="1:6" x14ac:dyDescent="0.2">
      <c r="A108" s="14"/>
      <c r="B108" s="14"/>
      <c r="C108" s="14"/>
      <c r="D108" s="14"/>
      <c r="E108" s="14"/>
      <c r="F108" s="14"/>
    </row>
    <row r="109" spans="1:6" x14ac:dyDescent="0.2">
      <c r="F109" s="14"/>
    </row>
    <row r="110" spans="1:6" x14ac:dyDescent="0.2">
      <c r="F110" s="14"/>
    </row>
    <row r="111" spans="1:6" x14ac:dyDescent="0.2">
      <c r="F111" s="14"/>
    </row>
    <row r="112" spans="1:6" x14ac:dyDescent="0.2">
      <c r="F112" s="14"/>
    </row>
    <row r="113" spans="6:6" x14ac:dyDescent="0.2">
      <c r="F113" s="14"/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sm_maize_mlayer">
                <anchor moveWithCells="1" sizeWithCells="1">
                  <from>
                    <xdr:col>6</xdr:col>
                    <xdr:colOff>47625</xdr:colOff>
                    <xdr:row>3</xdr:row>
                    <xdr:rowOff>0</xdr:rowOff>
                  </from>
                  <to>
                    <xdr:col>6</xdr:col>
                    <xdr:colOff>752475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31371-4BAB-4F8E-BB4B-03CF8C007EAE}">
  <sheetPr codeName="Sheet4"/>
  <dimension ref="A1:BI136"/>
  <sheetViews>
    <sheetView zoomScale="75" workbookViewId="0">
      <pane xSplit="8" ySplit="1" topLeftCell="I26" activePane="bottomRight" state="frozen"/>
      <selection pane="topRight" activeCell="I1" sqref="I1"/>
      <selection pane="bottomLeft" activeCell="A3" sqref="A3"/>
      <selection pane="bottomRight" sqref="A1:IV65536"/>
    </sheetView>
  </sheetViews>
  <sheetFormatPr defaultColWidth="13.7109375" defaultRowHeight="15.75" customHeight="1" x14ac:dyDescent="0.2"/>
  <cols>
    <col min="1" max="3" width="13.7109375" style="3" customWidth="1"/>
    <col min="4" max="5" width="13.7109375" style="28" customWidth="1"/>
    <col min="6" max="8" width="13.7109375" style="32" customWidth="1"/>
    <col min="9" max="12" width="13.7109375" style="28" customWidth="1"/>
    <col min="13" max="21" width="13.7109375" style="30" customWidth="1"/>
    <col min="22" max="27" width="13.7109375" style="32" customWidth="1"/>
    <col min="28" max="34" width="13.7109375" style="28" customWidth="1"/>
    <col min="35" max="35" width="13.7109375" style="32" customWidth="1"/>
    <col min="36" max="36" width="13.7109375" style="30" customWidth="1"/>
    <col min="37" max="43" width="13.7109375" style="32" customWidth="1"/>
    <col min="44" max="61" width="13.7109375" style="30" customWidth="1"/>
    <col min="62" max="16384" width="13.7109375" style="3"/>
  </cols>
  <sheetData>
    <row r="1" spans="1:61" s="7" customFormat="1" ht="15.75" customHeight="1" x14ac:dyDescent="0.2">
      <c r="A1" s="7" t="s">
        <v>722</v>
      </c>
      <c r="B1" s="7" t="s">
        <v>675</v>
      </c>
      <c r="C1" s="7" t="s">
        <v>723</v>
      </c>
      <c r="D1" s="27" t="s">
        <v>724</v>
      </c>
      <c r="E1" s="27" t="s">
        <v>725</v>
      </c>
      <c r="F1" s="31" t="s">
        <v>726</v>
      </c>
      <c r="G1" s="31" t="s">
        <v>787</v>
      </c>
      <c r="H1" s="31" t="s">
        <v>788</v>
      </c>
      <c r="I1" s="27" t="s">
        <v>29</v>
      </c>
      <c r="J1" s="27" t="s">
        <v>612</v>
      </c>
      <c r="K1" s="27" t="s">
        <v>538</v>
      </c>
      <c r="L1" s="27" t="s">
        <v>758</v>
      </c>
      <c r="M1" s="29" t="s">
        <v>27</v>
      </c>
      <c r="N1" s="29" t="s">
        <v>28</v>
      </c>
      <c r="O1" s="29" t="s">
        <v>789</v>
      </c>
      <c r="P1" s="29" t="s">
        <v>790</v>
      </c>
      <c r="Q1" s="29" t="s">
        <v>791</v>
      </c>
      <c r="R1" s="29" t="s">
        <v>792</v>
      </c>
      <c r="S1" s="29" t="s">
        <v>793</v>
      </c>
      <c r="T1" s="29" t="s">
        <v>794</v>
      </c>
      <c r="U1" s="29" t="s">
        <v>795</v>
      </c>
      <c r="V1" s="31" t="s">
        <v>796</v>
      </c>
      <c r="W1" s="31" t="s">
        <v>797</v>
      </c>
      <c r="X1" s="31" t="s">
        <v>798</v>
      </c>
      <c r="Y1" s="31" t="s">
        <v>733</v>
      </c>
      <c r="Z1" s="31" t="s">
        <v>732</v>
      </c>
      <c r="AA1" s="31" t="s">
        <v>799</v>
      </c>
      <c r="AB1" s="27" t="s">
        <v>800</v>
      </c>
      <c r="AC1" s="27" t="s">
        <v>801</v>
      </c>
      <c r="AD1" s="27" t="s">
        <v>802</v>
      </c>
      <c r="AE1" s="27" t="s">
        <v>803</v>
      </c>
      <c r="AF1" s="27" t="s">
        <v>804</v>
      </c>
      <c r="AG1" s="27" t="s">
        <v>805</v>
      </c>
      <c r="AH1" s="27" t="s">
        <v>806</v>
      </c>
      <c r="AI1" s="31" t="s">
        <v>807</v>
      </c>
      <c r="AJ1" s="29" t="s">
        <v>808</v>
      </c>
      <c r="AK1" s="31" t="s">
        <v>736</v>
      </c>
      <c r="AL1" s="31" t="s">
        <v>737</v>
      </c>
      <c r="AM1" s="31" t="s">
        <v>738</v>
      </c>
      <c r="AN1" s="31" t="s">
        <v>740</v>
      </c>
      <c r="AO1" s="31" t="s">
        <v>741</v>
      </c>
      <c r="AP1" s="31" t="s">
        <v>742</v>
      </c>
      <c r="AQ1" s="31" t="s">
        <v>743</v>
      </c>
      <c r="AR1" s="29" t="s">
        <v>809</v>
      </c>
      <c r="AS1" s="29" t="s">
        <v>750</v>
      </c>
      <c r="AT1" s="29" t="s">
        <v>810</v>
      </c>
      <c r="AU1" s="29" t="s">
        <v>753</v>
      </c>
      <c r="AV1" s="29" t="s">
        <v>811</v>
      </c>
      <c r="AW1" s="29" t="s">
        <v>754</v>
      </c>
      <c r="AX1" s="29" t="s">
        <v>812</v>
      </c>
      <c r="AY1" s="29" t="s">
        <v>751</v>
      </c>
      <c r="AZ1" s="29" t="s">
        <v>813</v>
      </c>
      <c r="BA1" s="29" t="s">
        <v>755</v>
      </c>
      <c r="BB1" s="29" t="s">
        <v>814</v>
      </c>
      <c r="BC1" s="29" t="s">
        <v>815</v>
      </c>
      <c r="BD1" s="29" t="s">
        <v>816</v>
      </c>
      <c r="BE1" s="29" t="s">
        <v>745</v>
      </c>
      <c r="BF1" s="29" t="s">
        <v>746</v>
      </c>
      <c r="BG1" s="29" t="s">
        <v>747</v>
      </c>
      <c r="BH1" s="29" t="s">
        <v>102</v>
      </c>
      <c r="BI1" s="29" t="s">
        <v>748</v>
      </c>
    </row>
    <row r="2" spans="1:61" ht="15.75" customHeight="1" x14ac:dyDescent="0.2">
      <c r="A2" s="3" t="s">
        <v>827</v>
      </c>
      <c r="B2" s="3" t="s">
        <v>103</v>
      </c>
      <c r="C2" s="3" t="s">
        <v>826</v>
      </c>
      <c r="D2" s="28" t="s">
        <v>692</v>
      </c>
      <c r="E2" s="28" t="s">
        <v>828</v>
      </c>
      <c r="F2" s="32">
        <v>2000</v>
      </c>
      <c r="G2" s="32">
        <v>186</v>
      </c>
      <c r="H2" s="32">
        <v>1</v>
      </c>
      <c r="I2" s="28">
        <v>27.5</v>
      </c>
      <c r="J2" s="28">
        <v>19.5</v>
      </c>
      <c r="K2" s="28">
        <v>0.75</v>
      </c>
      <c r="L2" s="28">
        <v>1</v>
      </c>
      <c r="M2" s="30">
        <v>0</v>
      </c>
      <c r="N2" s="30">
        <v>0</v>
      </c>
      <c r="O2" s="30">
        <v>0</v>
      </c>
      <c r="P2" s="30">
        <v>1</v>
      </c>
      <c r="Q2" s="30">
        <v>0</v>
      </c>
      <c r="R2" s="30">
        <v>0</v>
      </c>
      <c r="S2" s="30">
        <v>0</v>
      </c>
      <c r="T2" s="30">
        <v>0</v>
      </c>
      <c r="U2" s="30">
        <v>0</v>
      </c>
      <c r="V2" s="32">
        <v>0.5</v>
      </c>
      <c r="W2" s="32">
        <v>0.5</v>
      </c>
      <c r="X2" s="32">
        <v>1</v>
      </c>
      <c r="Y2" s="32">
        <v>0</v>
      </c>
      <c r="Z2" s="32">
        <v>1</v>
      </c>
      <c r="AA2" s="32">
        <v>150</v>
      </c>
      <c r="AB2" s="28">
        <v>0</v>
      </c>
      <c r="AC2" s="28">
        <v>0</v>
      </c>
      <c r="AD2" s="28">
        <v>0</v>
      </c>
      <c r="AE2" s="28">
        <v>6.4637974330160004</v>
      </c>
      <c r="AF2" s="28">
        <v>2.6773925611876255</v>
      </c>
      <c r="AG2" s="28">
        <v>0</v>
      </c>
      <c r="AI2" s="32">
        <v>12.922607438812378</v>
      </c>
      <c r="AJ2" s="30">
        <v>0.66269781737499378</v>
      </c>
      <c r="AK2" s="32">
        <v>0</v>
      </c>
      <c r="AL2" s="32">
        <v>0</v>
      </c>
      <c r="AM2" s="32">
        <v>1</v>
      </c>
      <c r="AN2" s="32">
        <v>0</v>
      </c>
      <c r="AO2" s="32">
        <v>2.6773925611876255</v>
      </c>
      <c r="AP2" s="32">
        <v>0</v>
      </c>
      <c r="AQ2" s="32">
        <v>0</v>
      </c>
      <c r="AR2" s="30">
        <v>0</v>
      </c>
      <c r="AS2" s="30">
        <v>0</v>
      </c>
      <c r="AT2" s="30">
        <v>0</v>
      </c>
      <c r="AU2" s="30">
        <v>0</v>
      </c>
      <c r="AV2" s="30">
        <v>0</v>
      </c>
      <c r="AW2" s="30">
        <v>0</v>
      </c>
      <c r="AX2" s="30">
        <v>0.30393084101279916</v>
      </c>
      <c r="AY2" s="30">
        <v>0.30393084101279916</v>
      </c>
      <c r="AZ2" s="30">
        <v>0</v>
      </c>
      <c r="BA2" s="30">
        <v>0</v>
      </c>
      <c r="BB2" s="30">
        <v>0.55905579869885924</v>
      </c>
      <c r="BC2" s="30">
        <v>5.9517641743461311</v>
      </c>
      <c r="BD2" s="30">
        <v>0</v>
      </c>
      <c r="BE2" s="30">
        <v>0</v>
      </c>
      <c r="BF2" s="30">
        <v>5.3E-3</v>
      </c>
      <c r="BG2" s="30">
        <v>5.3E-3</v>
      </c>
      <c r="BH2" s="30">
        <v>0</v>
      </c>
      <c r="BI2" s="30">
        <v>5.3E-3</v>
      </c>
    </row>
    <row r="3" spans="1:61" ht="15.75" customHeight="1" x14ac:dyDescent="0.2">
      <c r="A3" s="3" t="s">
        <v>827</v>
      </c>
      <c r="B3" s="3" t="s">
        <v>103</v>
      </c>
      <c r="C3" s="3" t="s">
        <v>826</v>
      </c>
      <c r="D3" s="28" t="s">
        <v>692</v>
      </c>
      <c r="E3" s="28" t="s">
        <v>828</v>
      </c>
      <c r="F3" s="32">
        <v>2000</v>
      </c>
      <c r="G3" s="32">
        <v>187</v>
      </c>
      <c r="H3" s="32">
        <v>2</v>
      </c>
      <c r="I3" s="28">
        <v>26.7</v>
      </c>
      <c r="J3" s="28">
        <v>18.7</v>
      </c>
      <c r="K3" s="28">
        <v>1.4692307692307693</v>
      </c>
      <c r="L3" s="28">
        <v>1</v>
      </c>
      <c r="M3" s="30">
        <v>0</v>
      </c>
      <c r="N3" s="30">
        <v>0</v>
      </c>
      <c r="O3" s="30">
        <v>0</v>
      </c>
      <c r="P3" s="30">
        <v>1</v>
      </c>
      <c r="Q3" s="30">
        <v>0</v>
      </c>
      <c r="R3" s="30">
        <v>0</v>
      </c>
      <c r="S3" s="30">
        <v>0</v>
      </c>
      <c r="T3" s="30">
        <v>0</v>
      </c>
      <c r="U3" s="30">
        <v>0</v>
      </c>
      <c r="V3" s="32">
        <v>0.5</v>
      </c>
      <c r="W3" s="32">
        <v>0.5</v>
      </c>
      <c r="X3" s="32">
        <v>1</v>
      </c>
      <c r="Y3" s="32">
        <v>0</v>
      </c>
      <c r="Z3" s="32">
        <v>1</v>
      </c>
      <c r="AA3" s="32">
        <v>150</v>
      </c>
      <c r="AB3" s="28">
        <v>0</v>
      </c>
      <c r="AC3" s="28">
        <v>0</v>
      </c>
      <c r="AD3" s="28">
        <v>0</v>
      </c>
      <c r="AE3" s="28">
        <v>5.3673400704000009</v>
      </c>
      <c r="AF3" s="28">
        <v>1.7059405820048712</v>
      </c>
      <c r="AG3" s="28">
        <v>0</v>
      </c>
      <c r="AH3" s="28">
        <v>0</v>
      </c>
      <c r="AI3" s="32">
        <v>11.216666856807507</v>
      </c>
      <c r="AJ3" s="30">
        <v>0.57521368496448755</v>
      </c>
      <c r="AK3" s="32">
        <v>0</v>
      </c>
      <c r="AL3" s="32">
        <v>0</v>
      </c>
      <c r="AM3" s="32">
        <v>1</v>
      </c>
      <c r="AN3" s="32">
        <v>0</v>
      </c>
      <c r="AO3" s="32">
        <v>4.3833331431924965</v>
      </c>
      <c r="AP3" s="32">
        <v>0</v>
      </c>
      <c r="AQ3" s="32">
        <v>0</v>
      </c>
      <c r="AR3" s="30">
        <v>6.12</v>
      </c>
      <c r="AS3" s="30">
        <v>6.12</v>
      </c>
      <c r="AT3" s="30">
        <v>0.18359999999999999</v>
      </c>
      <c r="AU3" s="30">
        <v>0.18359999999999999</v>
      </c>
      <c r="AV3" s="30">
        <v>0</v>
      </c>
      <c r="AW3" s="30">
        <v>0</v>
      </c>
      <c r="AX3" s="30">
        <v>0.27650368246585905</v>
      </c>
      <c r="AY3" s="30">
        <v>0.5804345234786582</v>
      </c>
      <c r="AZ3" s="30">
        <v>0</v>
      </c>
      <c r="BA3" s="30">
        <v>0</v>
      </c>
      <c r="BB3" s="30">
        <v>2.6556514635632129</v>
      </c>
      <c r="BC3" s="30">
        <v>12.164667856811992</v>
      </c>
      <c r="BD3" s="30">
        <v>0</v>
      </c>
      <c r="BE3" s="30">
        <v>0</v>
      </c>
      <c r="BF3" s="30">
        <v>5.3E-3</v>
      </c>
      <c r="BG3" s="30">
        <v>5.3E-3</v>
      </c>
      <c r="BH3" s="30">
        <v>0</v>
      </c>
      <c r="BI3" s="30">
        <v>5.3E-3</v>
      </c>
    </row>
    <row r="4" spans="1:61" ht="15.75" customHeight="1" x14ac:dyDescent="0.2">
      <c r="A4" s="3" t="s">
        <v>827</v>
      </c>
      <c r="B4" s="3" t="s">
        <v>103</v>
      </c>
      <c r="C4" s="3" t="s">
        <v>826</v>
      </c>
      <c r="D4" s="28" t="s">
        <v>692</v>
      </c>
      <c r="E4" s="28" t="s">
        <v>828</v>
      </c>
      <c r="F4" s="32">
        <v>2000</v>
      </c>
      <c r="G4" s="32">
        <v>188</v>
      </c>
      <c r="H4" s="32">
        <v>3</v>
      </c>
      <c r="I4" s="28">
        <v>27.65</v>
      </c>
      <c r="J4" s="28">
        <v>19.649999999999999</v>
      </c>
      <c r="K4" s="28">
        <v>2.2250000000000001</v>
      </c>
      <c r="L4" s="28">
        <v>1</v>
      </c>
      <c r="M4" s="30">
        <v>0</v>
      </c>
      <c r="N4" s="30">
        <v>0</v>
      </c>
      <c r="O4" s="30">
        <v>0</v>
      </c>
      <c r="P4" s="30">
        <v>1</v>
      </c>
      <c r="Q4" s="30">
        <v>0</v>
      </c>
      <c r="R4" s="30">
        <v>0</v>
      </c>
      <c r="S4" s="30">
        <v>0</v>
      </c>
      <c r="T4" s="30">
        <v>0</v>
      </c>
      <c r="U4" s="30">
        <v>0</v>
      </c>
      <c r="V4" s="32">
        <v>0.5</v>
      </c>
      <c r="W4" s="32">
        <v>0.5</v>
      </c>
      <c r="X4" s="32">
        <v>1</v>
      </c>
      <c r="Y4" s="32">
        <v>0</v>
      </c>
      <c r="Z4" s="32">
        <v>1</v>
      </c>
      <c r="AA4" s="32">
        <v>150</v>
      </c>
      <c r="AB4" s="28">
        <v>2</v>
      </c>
      <c r="AC4" s="28">
        <v>0</v>
      </c>
      <c r="AD4" s="28">
        <v>0</v>
      </c>
      <c r="AE4" s="28">
        <v>4.1224564233160015</v>
      </c>
      <c r="AF4" s="28">
        <v>1.1046088694600176</v>
      </c>
      <c r="AG4" s="28">
        <v>0</v>
      </c>
      <c r="AH4" s="28">
        <v>0</v>
      </c>
      <c r="AI4" s="32">
        <v>12.112057987347491</v>
      </c>
      <c r="AJ4" s="30">
        <v>0.62113117883833291</v>
      </c>
      <c r="AK4" s="32">
        <v>2</v>
      </c>
      <c r="AL4" s="32">
        <v>0</v>
      </c>
      <c r="AM4" s="32">
        <v>1</v>
      </c>
      <c r="AN4" s="32">
        <v>0</v>
      </c>
      <c r="AO4" s="32">
        <v>5.487942012652514</v>
      </c>
      <c r="AP4" s="32">
        <v>0</v>
      </c>
      <c r="AQ4" s="32">
        <v>0</v>
      </c>
      <c r="AR4" s="30">
        <v>0</v>
      </c>
      <c r="AS4" s="30">
        <v>6.12</v>
      </c>
      <c r="AT4" s="30">
        <v>0</v>
      </c>
      <c r="AU4" s="30">
        <v>0.18359999999999999</v>
      </c>
      <c r="AV4" s="30">
        <v>0</v>
      </c>
      <c r="AW4" s="30">
        <v>0</v>
      </c>
      <c r="AX4" s="30">
        <v>0.24179694113481917</v>
      </c>
      <c r="AY4" s="30">
        <v>0.8222314646134774</v>
      </c>
      <c r="AZ4" s="30">
        <v>0</v>
      </c>
      <c r="BA4" s="30">
        <v>0</v>
      </c>
      <c r="BB4" s="30">
        <v>2.7875958358862052</v>
      </c>
      <c r="BC4" s="30">
        <v>12.406464797946811</v>
      </c>
      <c r="BD4" s="30">
        <v>0</v>
      </c>
      <c r="BE4" s="30">
        <v>0</v>
      </c>
      <c r="BF4" s="30">
        <v>5.3E-3</v>
      </c>
      <c r="BG4" s="30">
        <v>5.3E-3</v>
      </c>
      <c r="BH4" s="30">
        <v>0</v>
      </c>
      <c r="BI4" s="30">
        <v>5.3E-3</v>
      </c>
    </row>
    <row r="5" spans="1:61" ht="15.75" customHeight="1" x14ac:dyDescent="0.2">
      <c r="A5" s="3" t="s">
        <v>827</v>
      </c>
      <c r="B5" s="3" t="s">
        <v>103</v>
      </c>
      <c r="C5" s="3" t="s">
        <v>826</v>
      </c>
      <c r="D5" s="28" t="s">
        <v>692</v>
      </c>
      <c r="E5" s="28" t="s">
        <v>828</v>
      </c>
      <c r="F5" s="32">
        <v>2000</v>
      </c>
      <c r="G5" s="32">
        <v>189</v>
      </c>
      <c r="H5" s="32">
        <v>4</v>
      </c>
      <c r="I5" s="28">
        <v>30.299999999999997</v>
      </c>
      <c r="J5" s="28">
        <v>22.299999999999997</v>
      </c>
      <c r="K5" s="28">
        <v>3.0826923076923078</v>
      </c>
      <c r="L5" s="28">
        <v>1.5732647814910026</v>
      </c>
      <c r="M5" s="30">
        <v>2.6219226436817594E-3</v>
      </c>
      <c r="N5" s="30">
        <v>0</v>
      </c>
      <c r="O5" s="30">
        <v>0</v>
      </c>
      <c r="P5" s="30">
        <v>1</v>
      </c>
      <c r="Q5" s="30">
        <v>0</v>
      </c>
      <c r="R5" s="30">
        <v>0</v>
      </c>
      <c r="S5" s="30">
        <v>0</v>
      </c>
      <c r="T5" s="30">
        <v>0</v>
      </c>
      <c r="U5" s="30">
        <v>0</v>
      </c>
      <c r="V5" s="32">
        <v>0.5</v>
      </c>
      <c r="W5" s="32">
        <v>0.5</v>
      </c>
      <c r="X5" s="32">
        <v>1</v>
      </c>
      <c r="Y5" s="32">
        <v>0</v>
      </c>
      <c r="Z5" s="32">
        <v>1</v>
      </c>
      <c r="AA5" s="32">
        <v>150</v>
      </c>
      <c r="AB5" s="28">
        <v>0</v>
      </c>
      <c r="AC5" s="28">
        <v>0</v>
      </c>
      <c r="AD5" s="28">
        <v>0</v>
      </c>
      <c r="AE5" s="28">
        <v>8.0918440680000021</v>
      </c>
      <c r="AF5" s="28">
        <v>1.9102252633764321</v>
      </c>
      <c r="AG5" s="28">
        <v>0</v>
      </c>
      <c r="AH5" s="28">
        <v>0</v>
      </c>
      <c r="AI5" s="32">
        <v>10.201832723971059</v>
      </c>
      <c r="AJ5" s="30">
        <v>0.52317090892159279</v>
      </c>
      <c r="AK5" s="32">
        <v>2</v>
      </c>
      <c r="AL5" s="32">
        <v>0</v>
      </c>
      <c r="AM5" s="32">
        <v>1</v>
      </c>
      <c r="AN5" s="32">
        <v>0</v>
      </c>
      <c r="AO5" s="32">
        <v>7.3981672760289463</v>
      </c>
      <c r="AP5" s="32">
        <v>0</v>
      </c>
      <c r="AQ5" s="32">
        <v>0</v>
      </c>
      <c r="AR5" s="30">
        <v>0</v>
      </c>
      <c r="AS5" s="30">
        <v>6.12</v>
      </c>
      <c r="AT5" s="30">
        <v>0</v>
      </c>
      <c r="AU5" s="30">
        <v>0.18359999999999999</v>
      </c>
      <c r="AV5" s="30">
        <v>0</v>
      </c>
      <c r="AW5" s="30">
        <v>0</v>
      </c>
      <c r="AX5" s="30">
        <v>0.28723236397951213</v>
      </c>
      <c r="AY5" s="30">
        <v>1.1094638285929896</v>
      </c>
      <c r="AZ5" s="30">
        <v>0</v>
      </c>
      <c r="BA5" s="30">
        <v>0</v>
      </c>
      <c r="BB5" s="30">
        <v>2.496614724570942</v>
      </c>
      <c r="BC5" s="30">
        <v>12.693697161926323</v>
      </c>
      <c r="BD5" s="30">
        <v>0</v>
      </c>
      <c r="BE5" s="30">
        <v>3.5395955689703756E-3</v>
      </c>
      <c r="BF5" s="30">
        <v>1.7604044310296245E-3</v>
      </c>
      <c r="BG5" s="30">
        <v>5.3E-3</v>
      </c>
      <c r="BH5" s="30">
        <v>0</v>
      </c>
      <c r="BI5" s="30">
        <v>5.3E-3</v>
      </c>
    </row>
    <row r="6" spans="1:61" ht="15.75" customHeight="1" x14ac:dyDescent="0.2">
      <c r="A6" s="3" t="s">
        <v>827</v>
      </c>
      <c r="B6" s="3" t="s">
        <v>103</v>
      </c>
      <c r="C6" s="3" t="s">
        <v>826</v>
      </c>
      <c r="D6" s="28" t="s">
        <v>692</v>
      </c>
      <c r="E6" s="28" t="s">
        <v>828</v>
      </c>
      <c r="F6" s="32">
        <v>2000</v>
      </c>
      <c r="G6" s="32">
        <v>190</v>
      </c>
      <c r="H6" s="32">
        <v>5</v>
      </c>
      <c r="I6" s="28">
        <v>30.6</v>
      </c>
      <c r="J6" s="28">
        <v>22.6</v>
      </c>
      <c r="K6" s="28">
        <v>3.9519230769230771</v>
      </c>
      <c r="L6" s="28">
        <v>2.1542416452442161</v>
      </c>
      <c r="M6" s="30">
        <v>3.9302897045105497E-3</v>
      </c>
      <c r="N6" s="30">
        <v>0</v>
      </c>
      <c r="O6" s="30">
        <v>2.6219226436817594E-3</v>
      </c>
      <c r="P6" s="30">
        <v>1</v>
      </c>
      <c r="Q6" s="30">
        <v>1.5719168287277041E-3</v>
      </c>
      <c r="R6" s="30">
        <v>7.2358475459993674E-2</v>
      </c>
      <c r="S6" s="30">
        <v>5.0650932821995572E-2</v>
      </c>
      <c r="T6" s="30">
        <v>2.1707542637998102E-2</v>
      </c>
      <c r="U6" s="30">
        <v>0</v>
      </c>
      <c r="V6" s="32">
        <v>0.55065093282199562</v>
      </c>
      <c r="W6" s="32">
        <v>0.52170754263799812</v>
      </c>
      <c r="X6" s="32">
        <v>1.0723584754599937</v>
      </c>
      <c r="Y6" s="32">
        <v>0</v>
      </c>
      <c r="Z6" s="32">
        <v>1.0723584754599937</v>
      </c>
      <c r="AA6" s="32">
        <v>178.68461538461537</v>
      </c>
      <c r="AB6" s="28">
        <v>0</v>
      </c>
      <c r="AC6" s="28">
        <v>0</v>
      </c>
      <c r="AD6" s="28">
        <v>0</v>
      </c>
      <c r="AE6" s="28">
        <v>8.9802954671093822</v>
      </c>
      <c r="AF6" s="28">
        <v>1.9140795815522353</v>
      </c>
      <c r="AG6" s="28">
        <v>1.6486317450958663E-2</v>
      </c>
      <c r="AH6" s="28">
        <v>0</v>
      </c>
      <c r="AI6" s="32">
        <v>11.626763933410672</v>
      </c>
      <c r="AJ6" s="30">
        <v>0.50052795787208537</v>
      </c>
      <c r="AK6" s="32">
        <v>2</v>
      </c>
      <c r="AL6" s="32">
        <v>0</v>
      </c>
      <c r="AM6" s="32">
        <v>1</v>
      </c>
      <c r="AN6" s="32">
        <v>0</v>
      </c>
      <c r="AO6" s="32">
        <v>9.3122468575811812</v>
      </c>
      <c r="AP6" s="32">
        <v>1.6486317450958663E-2</v>
      </c>
      <c r="AQ6" s="32">
        <v>0</v>
      </c>
      <c r="AR6" s="30">
        <v>0</v>
      </c>
      <c r="AS6" s="30">
        <v>6.12</v>
      </c>
      <c r="AT6" s="30">
        <v>0</v>
      </c>
      <c r="AU6" s="30">
        <v>0.18359999999999999</v>
      </c>
      <c r="AV6" s="30">
        <v>0</v>
      </c>
      <c r="AW6" s="30">
        <v>0</v>
      </c>
      <c r="AX6" s="30">
        <v>0.28907520833849315</v>
      </c>
      <c r="AY6" s="30">
        <v>1.3985390369314827</v>
      </c>
      <c r="AZ6" s="30">
        <v>0</v>
      </c>
      <c r="BA6" s="30">
        <v>0</v>
      </c>
      <c r="BB6" s="30">
        <v>2.2922670943597616</v>
      </c>
      <c r="BC6" s="30">
        <v>12.973466687418151</v>
      </c>
      <c r="BD6" s="30">
        <v>9.3056865739851776E-3</v>
      </c>
      <c r="BE6" s="30">
        <v>8.8454866700596185E-3</v>
      </c>
      <c r="BF6" s="30">
        <v>5.76019990392556E-3</v>
      </c>
      <c r="BG6" s="30">
        <v>1.4605686573985179E-2</v>
      </c>
      <c r="BH6" s="30">
        <v>0</v>
      </c>
      <c r="BI6" s="30">
        <v>1.4605686573985179E-2</v>
      </c>
    </row>
    <row r="7" spans="1:61" ht="15.75" customHeight="1" x14ac:dyDescent="0.2">
      <c r="A7" s="3" t="s">
        <v>827</v>
      </c>
      <c r="B7" s="3" t="s">
        <v>103</v>
      </c>
      <c r="C7" s="3" t="s">
        <v>826</v>
      </c>
      <c r="D7" s="28" t="s">
        <v>692</v>
      </c>
      <c r="E7" s="28" t="s">
        <v>828</v>
      </c>
      <c r="F7" s="32">
        <v>2000</v>
      </c>
      <c r="G7" s="32">
        <v>191</v>
      </c>
      <c r="H7" s="32">
        <v>6</v>
      </c>
      <c r="I7" s="28">
        <v>27.1</v>
      </c>
      <c r="J7" s="28">
        <v>19.100000000000001</v>
      </c>
      <c r="K7" s="28">
        <v>4.6865384615384613</v>
      </c>
      <c r="L7" s="28">
        <v>2.6452442159383036</v>
      </c>
      <c r="M7" s="30">
        <v>5.3671225302250282E-3</v>
      </c>
      <c r="N7" s="30">
        <v>0</v>
      </c>
      <c r="O7" s="30">
        <v>6.5522123481923092E-3</v>
      </c>
      <c r="P7" s="30">
        <v>1</v>
      </c>
      <c r="Q7" s="30">
        <v>3.9236098580361922E-3</v>
      </c>
      <c r="R7" s="30">
        <v>0.16281411466906984</v>
      </c>
      <c r="S7" s="30">
        <v>0.11396988026834888</v>
      </c>
      <c r="T7" s="30">
        <v>4.8844234400720957E-2</v>
      </c>
      <c r="U7" s="30">
        <v>0</v>
      </c>
      <c r="V7" s="32">
        <v>0.66462081309034449</v>
      </c>
      <c r="W7" s="32">
        <v>0.57055177703871907</v>
      </c>
      <c r="X7" s="32">
        <v>1.2351725901290636</v>
      </c>
      <c r="Y7" s="32">
        <v>0</v>
      </c>
      <c r="Z7" s="32">
        <v>1.2351725901290636</v>
      </c>
      <c r="AA7" s="32">
        <v>202.92692307692306</v>
      </c>
      <c r="AB7" s="28">
        <v>1.8</v>
      </c>
      <c r="AC7" s="28">
        <v>0</v>
      </c>
      <c r="AD7" s="28">
        <v>0</v>
      </c>
      <c r="AE7" s="28">
        <v>6.6311430926737414</v>
      </c>
      <c r="AF7" s="28">
        <v>1.2971818684869172</v>
      </c>
      <c r="AG7" s="28">
        <v>1.3940103279164836E-2</v>
      </c>
      <c r="AH7" s="28">
        <v>0</v>
      </c>
      <c r="AI7" s="32">
        <v>14.952263334904274</v>
      </c>
      <c r="AJ7" s="30">
        <v>0.56679226454783926</v>
      </c>
      <c r="AK7" s="32">
        <v>3.8</v>
      </c>
      <c r="AL7" s="32">
        <v>0</v>
      </c>
      <c r="AM7" s="32">
        <v>1</v>
      </c>
      <c r="AN7" s="32">
        <v>0</v>
      </c>
      <c r="AO7" s="32">
        <v>10.609428726068099</v>
      </c>
      <c r="AP7" s="32">
        <v>3.0426420730123499E-2</v>
      </c>
      <c r="AQ7" s="32">
        <v>0</v>
      </c>
      <c r="AR7" s="30">
        <v>0</v>
      </c>
      <c r="AS7" s="30">
        <v>6.12</v>
      </c>
      <c r="AT7" s="30">
        <v>0</v>
      </c>
      <c r="AU7" s="30">
        <v>0.18359999999999999</v>
      </c>
      <c r="AV7" s="30">
        <v>0</v>
      </c>
      <c r="AW7" s="30">
        <v>0</v>
      </c>
      <c r="AX7" s="30">
        <v>0.22339679915221122</v>
      </c>
      <c r="AY7" s="30">
        <v>1.621935836083694</v>
      </c>
      <c r="AZ7" s="30">
        <v>0</v>
      </c>
      <c r="BA7" s="30">
        <v>0</v>
      </c>
      <c r="BB7" s="30">
        <v>2.5030993762505473</v>
      </c>
      <c r="BC7" s="30">
        <v>13.188812476849474</v>
      </c>
      <c r="BD7" s="30">
        <v>8.0510132331362925E-3</v>
      </c>
      <c r="BE7" s="30">
        <v>1.6091102085863406E-2</v>
      </c>
      <c r="BF7" s="30">
        <v>6.565597721258064E-3</v>
      </c>
      <c r="BG7" s="30">
        <v>2.2656699807121469E-2</v>
      </c>
      <c r="BH7" s="30">
        <v>0</v>
      </c>
      <c r="BI7" s="30">
        <v>2.2656699807121469E-2</v>
      </c>
    </row>
    <row r="8" spans="1:61" ht="15.75" customHeight="1" x14ac:dyDescent="0.2">
      <c r="A8" s="3" t="s">
        <v>827</v>
      </c>
      <c r="B8" s="3" t="s">
        <v>103</v>
      </c>
      <c r="C8" s="3" t="s">
        <v>826</v>
      </c>
      <c r="D8" s="28" t="s">
        <v>692</v>
      </c>
      <c r="E8" s="28" t="s">
        <v>828</v>
      </c>
      <c r="F8" s="32">
        <v>2000</v>
      </c>
      <c r="G8" s="32">
        <v>192</v>
      </c>
      <c r="H8" s="32">
        <v>7</v>
      </c>
      <c r="I8" s="28">
        <v>28.5</v>
      </c>
      <c r="J8" s="28">
        <v>20.5</v>
      </c>
      <c r="K8" s="28">
        <v>5.4749999999999996</v>
      </c>
      <c r="L8" s="28">
        <v>3.1722365038560412</v>
      </c>
      <c r="M8" s="30">
        <v>8.3193628387061569E-3</v>
      </c>
      <c r="N8" s="30">
        <v>0</v>
      </c>
      <c r="O8" s="30">
        <v>1.1919334878417337E-2</v>
      </c>
      <c r="P8" s="30">
        <v>1</v>
      </c>
      <c r="Q8" s="30">
        <v>7.1260890822124612E-3</v>
      </c>
      <c r="R8" s="30">
        <v>0.31485912000847538</v>
      </c>
      <c r="S8" s="30">
        <v>0.22040138400593276</v>
      </c>
      <c r="T8" s="30">
        <v>9.4457736002542619E-2</v>
      </c>
      <c r="U8" s="30">
        <v>0</v>
      </c>
      <c r="V8" s="32">
        <v>0.88502219709627727</v>
      </c>
      <c r="W8" s="32">
        <v>0.66500951304126166</v>
      </c>
      <c r="X8" s="32">
        <v>1.5500317101375389</v>
      </c>
      <c r="Y8" s="32">
        <v>0</v>
      </c>
      <c r="Z8" s="32">
        <v>1.5500317101375389</v>
      </c>
      <c r="AA8" s="32">
        <v>228.94615384615383</v>
      </c>
      <c r="AB8" s="28">
        <v>0</v>
      </c>
      <c r="AC8" s="28">
        <v>0</v>
      </c>
      <c r="AD8" s="28">
        <v>0</v>
      </c>
      <c r="AE8" s="28">
        <v>7.272979146331239</v>
      </c>
      <c r="AF8" s="28">
        <v>1.3207029323968653</v>
      </c>
      <c r="AG8" s="28">
        <v>4.5099199417936123E-2</v>
      </c>
      <c r="AH8" s="28">
        <v>0</v>
      </c>
      <c r="AI8" s="32">
        <v>16.631976547119866</v>
      </c>
      <c r="AJ8" s="30">
        <v>0.55881384763363462</v>
      </c>
      <c r="AK8" s="32">
        <v>3.8</v>
      </c>
      <c r="AL8" s="32">
        <v>0</v>
      </c>
      <c r="AM8" s="32">
        <v>1</v>
      </c>
      <c r="AN8" s="32">
        <v>0</v>
      </c>
      <c r="AO8" s="32">
        <v>11.930131658464965</v>
      </c>
      <c r="AP8" s="32">
        <v>7.5525620148059622E-2</v>
      </c>
      <c r="AQ8" s="32">
        <v>0</v>
      </c>
      <c r="AR8" s="30">
        <v>0</v>
      </c>
      <c r="AS8" s="30">
        <v>6.12</v>
      </c>
      <c r="AT8" s="30">
        <v>0</v>
      </c>
      <c r="AU8" s="30">
        <v>0.18359999999999999</v>
      </c>
      <c r="AV8" s="30">
        <v>0</v>
      </c>
      <c r="AW8" s="30">
        <v>0</v>
      </c>
      <c r="AX8" s="30">
        <v>0.24359252132587234</v>
      </c>
      <c r="AY8" s="30">
        <v>1.8655283574095662</v>
      </c>
      <c r="AZ8" s="30">
        <v>0</v>
      </c>
      <c r="BA8" s="30">
        <v>0</v>
      </c>
      <c r="BB8" s="30">
        <v>2.3918435021491318</v>
      </c>
      <c r="BC8" s="30">
        <v>13.419689108304546</v>
      </c>
      <c r="BD8" s="30">
        <v>1.2715894950859574E-2</v>
      </c>
      <c r="BE8" s="30">
        <v>2.7322241918116719E-2</v>
      </c>
      <c r="BF8" s="30">
        <v>8.0503528398643241E-3</v>
      </c>
      <c r="BG8" s="30">
        <v>3.5372594757981046E-2</v>
      </c>
      <c r="BH8" s="30">
        <v>0</v>
      </c>
      <c r="BI8" s="30">
        <v>3.5372594757981046E-2</v>
      </c>
    </row>
    <row r="9" spans="1:61" ht="15.75" customHeight="1" x14ac:dyDescent="0.2">
      <c r="A9" s="3" t="s">
        <v>827</v>
      </c>
      <c r="B9" s="3" t="s">
        <v>103</v>
      </c>
      <c r="C9" s="3" t="s">
        <v>826</v>
      </c>
      <c r="D9" s="28" t="s">
        <v>692</v>
      </c>
      <c r="E9" s="28" t="s">
        <v>828</v>
      </c>
      <c r="F9" s="32">
        <v>2000</v>
      </c>
      <c r="G9" s="32">
        <v>193</v>
      </c>
      <c r="H9" s="32">
        <v>8</v>
      </c>
      <c r="I9" s="28">
        <v>28.7</v>
      </c>
      <c r="J9" s="28">
        <v>20.7</v>
      </c>
      <c r="K9" s="28">
        <v>6.2711538461538456</v>
      </c>
      <c r="L9" s="28">
        <v>3.7043701799485862</v>
      </c>
      <c r="M9" s="30">
        <v>1.1563063463236075E-2</v>
      </c>
      <c r="N9" s="30">
        <v>0</v>
      </c>
      <c r="O9" s="30">
        <v>2.0238697717123492E-2</v>
      </c>
      <c r="P9" s="30">
        <v>1</v>
      </c>
      <c r="Q9" s="30">
        <v>1.2069787282427802E-2</v>
      </c>
      <c r="R9" s="30">
        <v>0.54343010260402924</v>
      </c>
      <c r="S9" s="30">
        <v>0.38040107182282046</v>
      </c>
      <c r="T9" s="30">
        <v>0.16302903078120878</v>
      </c>
      <c r="U9" s="30">
        <v>0</v>
      </c>
      <c r="V9" s="32">
        <v>1.2654232689190978</v>
      </c>
      <c r="W9" s="32">
        <v>0.82803854382247044</v>
      </c>
      <c r="X9" s="32">
        <v>2.0934618127415683</v>
      </c>
      <c r="Y9" s="32">
        <v>0</v>
      </c>
      <c r="Z9" s="32">
        <v>2.0934618127415683</v>
      </c>
      <c r="AA9" s="32">
        <v>255.21923076923076</v>
      </c>
      <c r="AB9" s="28">
        <v>0</v>
      </c>
      <c r="AC9" s="28">
        <v>0</v>
      </c>
      <c r="AD9" s="28">
        <v>0</v>
      </c>
      <c r="AE9" s="28">
        <v>7.4385857942042346</v>
      </c>
      <c r="AF9" s="28">
        <v>1.263409762295358</v>
      </c>
      <c r="AG9" s="28">
        <v>8.2174051026135189E-2</v>
      </c>
      <c r="AH9" s="28">
        <v>0</v>
      </c>
      <c r="AI9" s="32">
        <v>18.35783865119361</v>
      </c>
      <c r="AJ9" s="30">
        <v>0.55330526248002809</v>
      </c>
      <c r="AK9" s="32">
        <v>3.8</v>
      </c>
      <c r="AL9" s="32">
        <v>0</v>
      </c>
      <c r="AM9" s="32">
        <v>1</v>
      </c>
      <c r="AN9" s="32">
        <v>0</v>
      </c>
      <c r="AO9" s="32">
        <v>13.193541420760324</v>
      </c>
      <c r="AP9" s="32">
        <v>0.15769967117419481</v>
      </c>
      <c r="AQ9" s="32">
        <v>0</v>
      </c>
      <c r="AR9" s="30">
        <v>0</v>
      </c>
      <c r="AS9" s="30">
        <v>6.12</v>
      </c>
      <c r="AT9" s="30">
        <v>0</v>
      </c>
      <c r="AU9" s="30">
        <v>0.18359999999999999</v>
      </c>
      <c r="AV9" s="30">
        <v>0</v>
      </c>
      <c r="AW9" s="30">
        <v>0</v>
      </c>
      <c r="AX9" s="30">
        <v>0.24383984482081625</v>
      </c>
      <c r="AY9" s="30">
        <v>2.1093682022303826</v>
      </c>
      <c r="AZ9" s="30">
        <v>0</v>
      </c>
      <c r="BA9" s="30">
        <v>0</v>
      </c>
      <c r="BB9" s="30">
        <v>2.275020507789197</v>
      </c>
      <c r="BC9" s="30">
        <v>13.645463861551846</v>
      </c>
      <c r="BD9" s="30">
        <v>1.8065099126303379E-2</v>
      </c>
      <c r="BE9" s="30">
        <v>4.2932377593485421E-2</v>
      </c>
      <c r="BF9" s="30">
        <v>1.0505316290799E-2</v>
      </c>
      <c r="BG9" s="30">
        <v>5.3437693884284418E-2</v>
      </c>
      <c r="BH9" s="30">
        <v>0</v>
      </c>
      <c r="BI9" s="30">
        <v>5.3437693884284425E-2</v>
      </c>
    </row>
    <row r="10" spans="1:61" ht="15.75" customHeight="1" x14ac:dyDescent="0.2">
      <c r="A10" s="3" t="s">
        <v>827</v>
      </c>
      <c r="B10" s="3" t="s">
        <v>103</v>
      </c>
      <c r="C10" s="3" t="s">
        <v>826</v>
      </c>
      <c r="D10" s="28" t="s">
        <v>692</v>
      </c>
      <c r="E10" s="28" t="s">
        <v>828</v>
      </c>
      <c r="F10" s="32">
        <v>2000</v>
      </c>
      <c r="G10" s="32">
        <v>194</v>
      </c>
      <c r="H10" s="32">
        <v>9</v>
      </c>
      <c r="I10" s="28">
        <v>28.75</v>
      </c>
      <c r="J10" s="28">
        <v>20.75</v>
      </c>
      <c r="K10" s="28">
        <v>7.069230769230769</v>
      </c>
      <c r="L10" s="28">
        <v>4.2377892030848328</v>
      </c>
      <c r="M10" s="30">
        <v>1.5264944894603234E-2</v>
      </c>
      <c r="N10" s="30">
        <v>0</v>
      </c>
      <c r="O10" s="30">
        <v>3.1801761180359565E-2</v>
      </c>
      <c r="P10" s="30">
        <v>1</v>
      </c>
      <c r="Q10" s="30">
        <v>1.8900165703286342E-2</v>
      </c>
      <c r="R10" s="30">
        <v>0.80968309872878685</v>
      </c>
      <c r="S10" s="30">
        <v>0.56677816911015078</v>
      </c>
      <c r="T10" s="30">
        <v>0.24290492961863608</v>
      </c>
      <c r="U10" s="30">
        <v>0</v>
      </c>
      <c r="V10" s="32">
        <v>1.8322014380292486</v>
      </c>
      <c r="W10" s="32">
        <v>1.0709434734411065</v>
      </c>
      <c r="X10" s="32">
        <v>2.9031449114703554</v>
      </c>
      <c r="Y10" s="32">
        <v>0</v>
      </c>
      <c r="Z10" s="32">
        <v>2.9031449114703554</v>
      </c>
      <c r="AA10" s="32">
        <v>281.55576923076922</v>
      </c>
      <c r="AB10" s="28">
        <v>0</v>
      </c>
      <c r="AC10" s="28">
        <v>0</v>
      </c>
      <c r="AD10" s="28">
        <v>0</v>
      </c>
      <c r="AE10" s="28">
        <v>7.0808907685993949</v>
      </c>
      <c r="AF10" s="28">
        <v>1.1309436522798308</v>
      </c>
      <c r="AG10" s="28">
        <v>0.12406966309479565</v>
      </c>
      <c r="AH10" s="28">
        <v>0</v>
      </c>
      <c r="AI10" s="32">
        <v>20.168271312664409</v>
      </c>
      <c r="AJ10" s="30">
        <v>0.55101179060479644</v>
      </c>
      <c r="AK10" s="32">
        <v>3.8</v>
      </c>
      <c r="AL10" s="32">
        <v>0</v>
      </c>
      <c r="AM10" s="32">
        <v>1</v>
      </c>
      <c r="AN10" s="32">
        <v>0</v>
      </c>
      <c r="AO10" s="32">
        <v>14.324485073040155</v>
      </c>
      <c r="AP10" s="32">
        <v>0.28176933426899048</v>
      </c>
      <c r="AQ10" s="32">
        <v>0</v>
      </c>
      <c r="AR10" s="30">
        <v>0</v>
      </c>
      <c r="AS10" s="30">
        <v>6.12</v>
      </c>
      <c r="AT10" s="30">
        <v>0</v>
      </c>
      <c r="AU10" s="30">
        <v>0.18359999999999999</v>
      </c>
      <c r="AV10" s="30">
        <v>0</v>
      </c>
      <c r="AW10" s="30">
        <v>0</v>
      </c>
      <c r="AX10" s="30">
        <v>0.24142302779158578</v>
      </c>
      <c r="AY10" s="30">
        <v>2.3507912300219682</v>
      </c>
      <c r="AZ10" s="30">
        <v>0</v>
      </c>
      <c r="BA10" s="30">
        <v>0</v>
      </c>
      <c r="BB10" s="30">
        <v>2.1670325616797714</v>
      </c>
      <c r="BC10" s="30">
        <v>13.862857747516248</v>
      </c>
      <c r="BD10" s="30">
        <v>2.4029152389348638E-2</v>
      </c>
      <c r="BE10" s="30">
        <v>6.3540053201199792E-2</v>
      </c>
      <c r="BF10" s="30">
        <v>1.3926793072433271E-2</v>
      </c>
      <c r="BG10" s="30">
        <v>7.7466846273633067E-2</v>
      </c>
      <c r="BH10" s="30">
        <v>0</v>
      </c>
      <c r="BI10" s="30">
        <v>7.7466846273633067E-2</v>
      </c>
    </row>
    <row r="11" spans="1:61" ht="15.75" customHeight="1" x14ac:dyDescent="0.2">
      <c r="A11" s="3" t="s">
        <v>827</v>
      </c>
      <c r="B11" s="3" t="s">
        <v>103</v>
      </c>
      <c r="C11" s="3" t="s">
        <v>826</v>
      </c>
      <c r="D11" s="28" t="s">
        <v>692</v>
      </c>
      <c r="E11" s="28" t="s">
        <v>828</v>
      </c>
      <c r="F11" s="32">
        <v>2000</v>
      </c>
      <c r="G11" s="32">
        <v>195</v>
      </c>
      <c r="H11" s="32">
        <v>10</v>
      </c>
      <c r="I11" s="28">
        <v>28.1</v>
      </c>
      <c r="J11" s="28">
        <v>20.100000000000001</v>
      </c>
      <c r="K11" s="28">
        <v>7.842307692307692</v>
      </c>
      <c r="L11" s="28">
        <v>4.7544987146529563</v>
      </c>
      <c r="M11" s="30">
        <v>1.8748073003805352E-2</v>
      </c>
      <c r="N11" s="30">
        <v>0</v>
      </c>
      <c r="O11" s="30">
        <v>4.70667060749628E-2</v>
      </c>
      <c r="P11" s="30">
        <v>1</v>
      </c>
      <c r="Q11" s="30">
        <v>2.7845001390824242E-2</v>
      </c>
      <c r="R11" s="30">
        <v>1.4080660303312003</v>
      </c>
      <c r="S11" s="30">
        <v>0.98564622123184009</v>
      </c>
      <c r="T11" s="30">
        <v>0.42241980909936017</v>
      </c>
      <c r="U11" s="30">
        <v>0</v>
      </c>
      <c r="V11" s="32">
        <v>2.8178476592610888</v>
      </c>
      <c r="W11" s="32">
        <v>1.4933632825404666</v>
      </c>
      <c r="X11" s="32">
        <v>4.3112109418015558</v>
      </c>
      <c r="Y11" s="32">
        <v>0</v>
      </c>
      <c r="Z11" s="32">
        <v>4.3112109418015558</v>
      </c>
      <c r="AA11" s="32">
        <v>307.06730769230768</v>
      </c>
      <c r="AB11" s="28">
        <v>0</v>
      </c>
      <c r="AC11" s="28">
        <v>0</v>
      </c>
      <c r="AD11" s="28">
        <v>0</v>
      </c>
      <c r="AE11" s="28">
        <v>8.2010487927066347</v>
      </c>
      <c r="AF11" s="28">
        <v>1.236367411680577</v>
      </c>
      <c r="AG11" s="28">
        <v>0.11804580740910769</v>
      </c>
      <c r="AH11" s="28">
        <v>0</v>
      </c>
      <c r="AI11" s="32">
        <v>21.77534504242151</v>
      </c>
      <c r="AJ11" s="30">
        <v>0.54549165598676086</v>
      </c>
      <c r="AK11" s="32">
        <v>3.8</v>
      </c>
      <c r="AL11" s="32">
        <v>0</v>
      </c>
      <c r="AM11" s="32">
        <v>1</v>
      </c>
      <c r="AN11" s="32">
        <v>0</v>
      </c>
      <c r="AO11" s="32">
        <v>15.560852484720732</v>
      </c>
      <c r="AP11" s="32">
        <v>0.39981514167809817</v>
      </c>
      <c r="AQ11" s="32">
        <v>0</v>
      </c>
      <c r="AR11" s="30">
        <v>0</v>
      </c>
      <c r="AS11" s="30">
        <v>6.12</v>
      </c>
      <c r="AT11" s="30">
        <v>0</v>
      </c>
      <c r="AU11" s="30">
        <v>0.18359999999999999</v>
      </c>
      <c r="AV11" s="30">
        <v>0</v>
      </c>
      <c r="AW11" s="30">
        <v>0</v>
      </c>
      <c r="AX11" s="30">
        <v>0.22767906460331849</v>
      </c>
      <c r="AY11" s="30">
        <v>2.5784702946252867</v>
      </c>
      <c r="AZ11" s="30">
        <v>0</v>
      </c>
      <c r="BA11" s="30">
        <v>0</v>
      </c>
      <c r="BB11" s="30">
        <v>1.9893806977210382</v>
      </c>
      <c r="BC11" s="30">
        <v>14.058846420489346</v>
      </c>
      <c r="BD11" s="30">
        <v>3.1690406254086118E-2</v>
      </c>
      <c r="BE11" s="30">
        <v>8.8849951756337017E-2</v>
      </c>
      <c r="BF11" s="30">
        <v>2.030730077138216E-2</v>
      </c>
      <c r="BG11" s="30">
        <v>0.10915725252771918</v>
      </c>
      <c r="BH11" s="30">
        <v>0</v>
      </c>
      <c r="BI11" s="30">
        <v>0.10915725252771918</v>
      </c>
    </row>
    <row r="12" spans="1:61" ht="15.75" customHeight="1" x14ac:dyDescent="0.2">
      <c r="A12" s="3" t="s">
        <v>827</v>
      </c>
      <c r="B12" s="3" t="s">
        <v>103</v>
      </c>
      <c r="C12" s="3" t="s">
        <v>826</v>
      </c>
      <c r="D12" s="28" t="s">
        <v>692</v>
      </c>
      <c r="E12" s="28" t="s">
        <v>828</v>
      </c>
      <c r="F12" s="32">
        <v>2000</v>
      </c>
      <c r="G12" s="32">
        <v>196</v>
      </c>
      <c r="H12" s="32">
        <v>11</v>
      </c>
      <c r="I12" s="28">
        <v>28.900000000000002</v>
      </c>
      <c r="J12" s="28">
        <v>20.900000000000002</v>
      </c>
      <c r="K12" s="28">
        <v>8.6461538461538456</v>
      </c>
      <c r="L12" s="28">
        <v>5.2917737789203088</v>
      </c>
      <c r="M12" s="30">
        <v>2.4098553971952257E-2</v>
      </c>
      <c r="N12" s="30">
        <v>0</v>
      </c>
      <c r="O12" s="30">
        <v>6.5814779078768149E-2</v>
      </c>
      <c r="P12" s="30">
        <v>1</v>
      </c>
      <c r="Q12" s="30">
        <v>3.8719344561375379E-2</v>
      </c>
      <c r="R12" s="30">
        <v>1.6457270212366992</v>
      </c>
      <c r="S12" s="30">
        <v>1.1520089148656893</v>
      </c>
      <c r="T12" s="30">
        <v>0.49371810637100988</v>
      </c>
      <c r="U12" s="30">
        <v>0</v>
      </c>
      <c r="V12" s="32">
        <v>3.9698565741267782</v>
      </c>
      <c r="W12" s="32">
        <v>1.9870813889114765</v>
      </c>
      <c r="X12" s="32">
        <v>5.9569379630382553</v>
      </c>
      <c r="Y12" s="32">
        <v>0</v>
      </c>
      <c r="Z12" s="32">
        <v>5.9569379630382553</v>
      </c>
      <c r="AA12" s="32">
        <v>333.59423076923076</v>
      </c>
      <c r="AB12" s="28">
        <v>0</v>
      </c>
      <c r="AC12" s="28">
        <v>0</v>
      </c>
      <c r="AD12" s="28">
        <v>0</v>
      </c>
      <c r="AE12" s="28">
        <v>7.4540083737501108</v>
      </c>
      <c r="AF12" s="28">
        <v>1.0637073427093826</v>
      </c>
      <c r="AG12" s="28">
        <v>0.33903083729655331</v>
      </c>
      <c r="AH12" s="28">
        <v>0</v>
      </c>
      <c r="AI12" s="32">
        <v>23.480184664125726</v>
      </c>
      <c r="AJ12" s="30">
        <v>0.54142664485587</v>
      </c>
      <c r="AK12" s="32">
        <v>3.8</v>
      </c>
      <c r="AL12" s="32">
        <v>0</v>
      </c>
      <c r="AM12" s="32">
        <v>1</v>
      </c>
      <c r="AN12" s="32">
        <v>0</v>
      </c>
      <c r="AO12" s="32">
        <v>16.624559827430115</v>
      </c>
      <c r="AP12" s="32">
        <v>0.73884597897465154</v>
      </c>
      <c r="AQ12" s="32">
        <v>0</v>
      </c>
      <c r="AR12" s="30">
        <v>0</v>
      </c>
      <c r="AS12" s="30">
        <v>6.12</v>
      </c>
      <c r="AT12" s="30">
        <v>0</v>
      </c>
      <c r="AU12" s="30">
        <v>0.18359999999999999</v>
      </c>
      <c r="AV12" s="30">
        <v>0</v>
      </c>
      <c r="AW12" s="30">
        <v>0</v>
      </c>
      <c r="AX12" s="30">
        <v>0.23707232056967661</v>
      </c>
      <c r="AY12" s="30">
        <v>2.8155426151949632</v>
      </c>
      <c r="AZ12" s="30">
        <v>0</v>
      </c>
      <c r="BA12" s="30">
        <v>0</v>
      </c>
      <c r="BB12" s="30">
        <v>1.7576366059332327</v>
      </c>
      <c r="BC12" s="30">
        <v>14.25739653868219</v>
      </c>
      <c r="BD12" s="30">
        <v>3.8522221740747736E-2</v>
      </c>
      <c r="BE12" s="30">
        <v>0.12138299961847257</v>
      </c>
      <c r="BF12" s="30">
        <v>2.629647464999435E-2</v>
      </c>
      <c r="BG12" s="30">
        <v>0.14767947426846692</v>
      </c>
      <c r="BH12" s="30">
        <v>0</v>
      </c>
      <c r="BI12" s="30">
        <v>0.14767947426846692</v>
      </c>
    </row>
    <row r="13" spans="1:61" ht="15.75" customHeight="1" x14ac:dyDescent="0.2">
      <c r="A13" s="3" t="s">
        <v>827</v>
      </c>
      <c r="B13" s="3" t="s">
        <v>103</v>
      </c>
      <c r="C13" s="3" t="s">
        <v>826</v>
      </c>
      <c r="D13" s="28" t="s">
        <v>692</v>
      </c>
      <c r="E13" s="28" t="s">
        <v>828</v>
      </c>
      <c r="F13" s="32">
        <v>2000</v>
      </c>
      <c r="G13" s="32">
        <v>197</v>
      </c>
      <c r="H13" s="32">
        <v>12</v>
      </c>
      <c r="I13" s="28">
        <v>28.5</v>
      </c>
      <c r="J13" s="28">
        <v>20.5</v>
      </c>
      <c r="K13" s="28">
        <v>9.434615384615384</v>
      </c>
      <c r="L13" s="28">
        <v>5.8187660668380463</v>
      </c>
      <c r="M13" s="30">
        <v>2.8656959069448477E-2</v>
      </c>
      <c r="N13" s="30">
        <v>0</v>
      </c>
      <c r="O13" s="30">
        <v>8.9913333050720398E-2</v>
      </c>
      <c r="P13" s="30">
        <v>1</v>
      </c>
      <c r="Q13" s="30">
        <v>5.2518625587050893E-2</v>
      </c>
      <c r="R13" s="30">
        <v>1.4822856885689244</v>
      </c>
      <c r="S13" s="30">
        <v>1.0375999819982471</v>
      </c>
      <c r="T13" s="30">
        <v>0.4446857065706773</v>
      </c>
      <c r="U13" s="30">
        <v>0</v>
      </c>
      <c r="V13" s="32">
        <v>5.0074565561250255</v>
      </c>
      <c r="W13" s="32">
        <v>2.4317670954821535</v>
      </c>
      <c r="X13" s="32">
        <v>7.4392236516071799</v>
      </c>
      <c r="Y13" s="32">
        <v>0</v>
      </c>
      <c r="Z13" s="32">
        <v>7.4392236516071799</v>
      </c>
      <c r="AA13" s="32">
        <v>359.61346153846154</v>
      </c>
      <c r="AB13" s="28">
        <v>0</v>
      </c>
      <c r="AC13" s="28">
        <v>0</v>
      </c>
      <c r="AD13" s="28">
        <v>0</v>
      </c>
      <c r="AE13" s="28">
        <v>4.6342498352683501</v>
      </c>
      <c r="AF13" s="28">
        <v>0.62669599583807645</v>
      </c>
      <c r="AG13" s="28">
        <v>0.23149784471289639</v>
      </c>
      <c r="AH13" s="28">
        <v>0</v>
      </c>
      <c r="AI13" s="32">
        <v>25.681884035207386</v>
      </c>
      <c r="AJ13" s="30">
        <v>0.54934805074267534</v>
      </c>
      <c r="AK13" s="32">
        <v>3.8</v>
      </c>
      <c r="AL13" s="32">
        <v>0</v>
      </c>
      <c r="AM13" s="32">
        <v>1</v>
      </c>
      <c r="AN13" s="32">
        <v>0</v>
      </c>
      <c r="AO13" s="32">
        <v>17.251255823268192</v>
      </c>
      <c r="AP13" s="32">
        <v>0.9703438236875479</v>
      </c>
      <c r="AQ13" s="32">
        <v>0</v>
      </c>
      <c r="AR13" s="30">
        <v>6.12</v>
      </c>
      <c r="AS13" s="30">
        <v>12.24</v>
      </c>
      <c r="AT13" s="30">
        <v>0.6120000000000001</v>
      </c>
      <c r="AU13" s="30">
        <v>0.79560000000000008</v>
      </c>
      <c r="AV13" s="30">
        <v>0</v>
      </c>
      <c r="AW13" s="30">
        <v>0</v>
      </c>
      <c r="AX13" s="30">
        <v>0.22713660213947615</v>
      </c>
      <c r="AY13" s="30">
        <v>3.0426792173344395</v>
      </c>
      <c r="AZ13" s="30">
        <v>0</v>
      </c>
      <c r="BA13" s="30">
        <v>0</v>
      </c>
      <c r="BB13" s="30">
        <v>2.0813520256479383</v>
      </c>
      <c r="BC13" s="30">
        <v>19.94913260228082</v>
      </c>
      <c r="BD13" s="30">
        <v>4.3400563233404625E-2</v>
      </c>
      <c r="BE13" s="30">
        <v>0.16006989436222802</v>
      </c>
      <c r="BF13" s="30">
        <v>3.101014313964353E-2</v>
      </c>
      <c r="BG13" s="30">
        <v>0.19108003750187155</v>
      </c>
      <c r="BH13" s="30">
        <v>0</v>
      </c>
      <c r="BI13" s="30">
        <v>0.19108003750187155</v>
      </c>
    </row>
    <row r="14" spans="1:61" ht="15.75" customHeight="1" x14ac:dyDescent="0.2">
      <c r="A14" s="3" t="s">
        <v>827</v>
      </c>
      <c r="B14" s="3" t="s">
        <v>103</v>
      </c>
      <c r="C14" s="3" t="s">
        <v>826</v>
      </c>
      <c r="D14" s="28" t="s">
        <v>692</v>
      </c>
      <c r="E14" s="28" t="s">
        <v>828</v>
      </c>
      <c r="F14" s="32">
        <v>2000</v>
      </c>
      <c r="G14" s="32">
        <v>198</v>
      </c>
      <c r="H14" s="32">
        <v>13</v>
      </c>
      <c r="I14" s="28">
        <v>30</v>
      </c>
      <c r="J14" s="28">
        <v>22</v>
      </c>
      <c r="K14" s="28">
        <v>10.280769230769231</v>
      </c>
      <c r="L14" s="28">
        <v>6.3843187660668379</v>
      </c>
      <c r="M14" s="30">
        <v>3.6801061955547956E-2</v>
      </c>
      <c r="N14" s="30">
        <v>0</v>
      </c>
      <c r="O14" s="30">
        <v>0.11857029212016887</v>
      </c>
      <c r="P14" s="30">
        <v>1</v>
      </c>
      <c r="Q14" s="30">
        <v>6.8670529306623318E-2</v>
      </c>
      <c r="R14" s="30">
        <v>2.4803795185552344</v>
      </c>
      <c r="S14" s="30">
        <v>1.7362656629886639</v>
      </c>
      <c r="T14" s="30">
        <v>0.7441138555665705</v>
      </c>
      <c r="U14" s="30">
        <v>0</v>
      </c>
      <c r="V14" s="32">
        <v>6.743722219113689</v>
      </c>
      <c r="W14" s="32">
        <v>3.175880951048724</v>
      </c>
      <c r="X14" s="32">
        <v>9.9196031701624143</v>
      </c>
      <c r="Y14" s="32">
        <v>0</v>
      </c>
      <c r="Z14" s="32">
        <v>9.9196031701624143</v>
      </c>
      <c r="AA14" s="32">
        <v>387.53653846153844</v>
      </c>
      <c r="AB14" s="28">
        <v>0</v>
      </c>
      <c r="AC14" s="28">
        <v>0</v>
      </c>
      <c r="AD14" s="28">
        <v>0</v>
      </c>
      <c r="AE14" s="28">
        <v>6.770780313565</v>
      </c>
      <c r="AF14" s="28">
        <v>0.8684986284423698</v>
      </c>
      <c r="AG14" s="28">
        <v>0.54859171242991023</v>
      </c>
      <c r="AH14" s="28">
        <v>0</v>
      </c>
      <c r="AI14" s="32">
        <v>27.593988647543419</v>
      </c>
      <c r="AJ14" s="30">
        <v>0.5477198407602939</v>
      </c>
      <c r="AK14" s="32">
        <v>3.8</v>
      </c>
      <c r="AL14" s="32">
        <v>0</v>
      </c>
      <c r="AM14" s="32">
        <v>1</v>
      </c>
      <c r="AN14" s="32">
        <v>0</v>
      </c>
      <c r="AO14" s="32">
        <v>18.119754451710563</v>
      </c>
      <c r="AP14" s="32">
        <v>1.5189355361174581</v>
      </c>
      <c r="AQ14" s="32">
        <v>0</v>
      </c>
      <c r="AR14" s="30">
        <v>0</v>
      </c>
      <c r="AS14" s="30">
        <v>12.24</v>
      </c>
      <c r="AT14" s="30">
        <v>0</v>
      </c>
      <c r="AU14" s="30">
        <v>0.79560000000000008</v>
      </c>
      <c r="AV14" s="30">
        <v>0</v>
      </c>
      <c r="AW14" s="30">
        <v>0</v>
      </c>
      <c r="AX14" s="30">
        <v>0.24725548006701337</v>
      </c>
      <c r="AY14" s="30">
        <v>3.2899346974014527</v>
      </c>
      <c r="AZ14" s="30">
        <v>0</v>
      </c>
      <c r="BA14" s="30">
        <v>0</v>
      </c>
      <c r="BB14" s="30">
        <v>1.6383755180581845</v>
      </c>
      <c r="BC14" s="30">
        <v>20.136164875832019</v>
      </c>
      <c r="BD14" s="30">
        <v>6.0223235450468336E-2</v>
      </c>
      <c r="BE14" s="30">
        <v>0.20975132800221777</v>
      </c>
      <c r="BF14" s="30">
        <v>4.155194495012212E-2</v>
      </c>
      <c r="BG14" s="30">
        <v>0.2513032729523399</v>
      </c>
      <c r="BH14" s="30">
        <v>0</v>
      </c>
      <c r="BI14" s="30">
        <v>0.2513032729523399</v>
      </c>
    </row>
    <row r="15" spans="1:61" ht="15.75" customHeight="1" x14ac:dyDescent="0.2">
      <c r="A15" s="3" t="s">
        <v>827</v>
      </c>
      <c r="B15" s="3" t="s">
        <v>103</v>
      </c>
      <c r="C15" s="3" t="s">
        <v>826</v>
      </c>
      <c r="D15" s="28" t="s">
        <v>692</v>
      </c>
      <c r="E15" s="28" t="s">
        <v>828</v>
      </c>
      <c r="F15" s="32">
        <v>2000</v>
      </c>
      <c r="G15" s="32">
        <v>199</v>
      </c>
      <c r="H15" s="32">
        <v>14</v>
      </c>
      <c r="I15" s="28">
        <v>29.1</v>
      </c>
      <c r="J15" s="28">
        <v>21.1</v>
      </c>
      <c r="K15" s="28">
        <v>11.092307692307692</v>
      </c>
      <c r="L15" s="28">
        <v>6.9267352185089974</v>
      </c>
      <c r="M15" s="30">
        <v>4.1677925949691885E-2</v>
      </c>
      <c r="N15" s="30">
        <v>0</v>
      </c>
      <c r="O15" s="30">
        <v>0.15537135407571684</v>
      </c>
      <c r="P15" s="30">
        <v>1</v>
      </c>
      <c r="Q15" s="30">
        <v>8.9009502339323809E-2</v>
      </c>
      <c r="R15" s="30">
        <v>3.5440023451425167</v>
      </c>
      <c r="S15" s="30">
        <v>2.4808016415997614</v>
      </c>
      <c r="T15" s="30">
        <v>1.0632007035427553</v>
      </c>
      <c r="U15" s="30">
        <v>0</v>
      </c>
      <c r="V15" s="32">
        <v>9.2245238607134503</v>
      </c>
      <c r="W15" s="32">
        <v>4.2390816545914793</v>
      </c>
      <c r="X15" s="32">
        <v>13.463605515304931</v>
      </c>
      <c r="Y15" s="32">
        <v>0</v>
      </c>
      <c r="Z15" s="32">
        <v>13.463605515304931</v>
      </c>
      <c r="AA15" s="32">
        <v>414.31730769230768</v>
      </c>
      <c r="AB15" s="28">
        <v>0</v>
      </c>
      <c r="AC15" s="28">
        <v>0</v>
      </c>
      <c r="AD15" s="28">
        <v>0</v>
      </c>
      <c r="AE15" s="28">
        <v>6.7127243956642255</v>
      </c>
      <c r="AF15" s="28">
        <v>0.81566333026518822</v>
      </c>
      <c r="AG15" s="28">
        <v>0.6178671750023641</v>
      </c>
      <c r="AH15" s="28">
        <v>0</v>
      </c>
      <c r="AI15" s="32">
        <v>29.527313733290576</v>
      </c>
      <c r="AJ15" s="30">
        <v>0.54821070311755815</v>
      </c>
      <c r="AK15" s="32">
        <v>3.8</v>
      </c>
      <c r="AL15" s="32">
        <v>0</v>
      </c>
      <c r="AM15" s="32">
        <v>1</v>
      </c>
      <c r="AN15" s="32">
        <v>0</v>
      </c>
      <c r="AO15" s="32">
        <v>18.935417781975751</v>
      </c>
      <c r="AP15" s="32">
        <v>2.136802711119822</v>
      </c>
      <c r="AQ15" s="32">
        <v>0</v>
      </c>
      <c r="AR15" s="30">
        <v>0</v>
      </c>
      <c r="AS15" s="30">
        <v>12.24</v>
      </c>
      <c r="AT15" s="30">
        <v>0</v>
      </c>
      <c r="AU15" s="30">
        <v>0.79560000000000008</v>
      </c>
      <c r="AV15" s="30">
        <v>0</v>
      </c>
      <c r="AW15" s="30">
        <v>0</v>
      </c>
      <c r="AX15" s="30">
        <v>0.22715132396522519</v>
      </c>
      <c r="AY15" s="30">
        <v>3.5170860213666781</v>
      </c>
      <c r="AZ15" s="30">
        <v>0</v>
      </c>
      <c r="BA15" s="30">
        <v>0</v>
      </c>
      <c r="BB15" s="30">
        <v>1.301566979738676</v>
      </c>
      <c r="BC15" s="30">
        <v>20.292398795004257</v>
      </c>
      <c r="BD15" s="30">
        <v>7.0917448078184814E-2</v>
      </c>
      <c r="BE15" s="30">
        <v>0.26601652803430181</v>
      </c>
      <c r="BF15" s="30">
        <v>5.6204192996222882E-2</v>
      </c>
      <c r="BG15" s="30">
        <v>0.32222072103052468</v>
      </c>
      <c r="BH15" s="30">
        <v>0</v>
      </c>
      <c r="BI15" s="30">
        <v>0.32222072103052468</v>
      </c>
    </row>
    <row r="16" spans="1:61" ht="15.75" customHeight="1" x14ac:dyDescent="0.2">
      <c r="A16" s="3" t="s">
        <v>827</v>
      </c>
      <c r="B16" s="3" t="s">
        <v>103</v>
      </c>
      <c r="C16" s="3" t="s">
        <v>826</v>
      </c>
      <c r="D16" s="28" t="s">
        <v>692</v>
      </c>
      <c r="E16" s="28" t="s">
        <v>828</v>
      </c>
      <c r="F16" s="32">
        <v>2000</v>
      </c>
      <c r="G16" s="32">
        <v>200</v>
      </c>
      <c r="H16" s="161">
        <v>15</v>
      </c>
      <c r="I16" s="28">
        <v>29</v>
      </c>
      <c r="J16" s="28">
        <v>21</v>
      </c>
      <c r="K16" s="28">
        <v>11.9</v>
      </c>
      <c r="L16" s="28">
        <v>7.466580976863753</v>
      </c>
      <c r="M16" s="30">
        <v>4.8172059821619838E-2</v>
      </c>
      <c r="N16" s="30">
        <v>0</v>
      </c>
      <c r="O16" s="30">
        <v>0.19704928002540872</v>
      </c>
      <c r="P16" s="30">
        <v>1</v>
      </c>
      <c r="Q16" s="30">
        <v>0.11150794015833376</v>
      </c>
      <c r="R16" s="30">
        <v>3.5406001159074139</v>
      </c>
      <c r="S16" s="30">
        <v>2.4784200811351895</v>
      </c>
      <c r="T16" s="30">
        <v>1.0621800347722243</v>
      </c>
      <c r="U16" s="30">
        <v>0</v>
      </c>
      <c r="V16" s="32">
        <v>11.702943941848639</v>
      </c>
      <c r="W16" s="32">
        <v>5.3012616893637041</v>
      </c>
      <c r="X16" s="32">
        <v>17.004205631212344</v>
      </c>
      <c r="Y16" s="32">
        <v>0</v>
      </c>
      <c r="Z16" s="32">
        <v>17.004205631212344</v>
      </c>
      <c r="AA16" s="32">
        <v>440.97115384615381</v>
      </c>
      <c r="AB16" s="28">
        <v>0</v>
      </c>
      <c r="AC16" s="28">
        <v>0</v>
      </c>
      <c r="AD16" s="28">
        <v>0</v>
      </c>
      <c r="AE16" s="28">
        <v>5.3355082999136396</v>
      </c>
      <c r="AF16" s="28">
        <v>0.61411224860066416</v>
      </c>
      <c r="AG16" s="28">
        <v>0.62601325734473967</v>
      </c>
      <c r="AH16" s="28">
        <v>0</v>
      </c>
      <c r="AI16" s="32">
        <v>32.084354212500159</v>
      </c>
      <c r="AJ16" s="30">
        <v>0.55967997579643114</v>
      </c>
      <c r="AK16" s="32">
        <v>3.8</v>
      </c>
      <c r="AL16" s="32">
        <v>0</v>
      </c>
      <c r="AM16" s="32">
        <v>1</v>
      </c>
      <c r="AN16" s="32">
        <v>0</v>
      </c>
      <c r="AO16" s="32">
        <v>19.549530030576417</v>
      </c>
      <c r="AP16" s="32">
        <v>2.7628159684645617</v>
      </c>
      <c r="AQ16" s="32">
        <v>0</v>
      </c>
      <c r="AR16" s="30">
        <v>0</v>
      </c>
      <c r="AS16" s="30">
        <v>12.24</v>
      </c>
      <c r="AT16" s="30">
        <v>0</v>
      </c>
      <c r="AU16" s="30">
        <v>0.79560000000000008</v>
      </c>
      <c r="AV16" s="30">
        <v>0</v>
      </c>
      <c r="AW16" s="30">
        <v>0</v>
      </c>
      <c r="AX16" s="30">
        <v>0.22074334154108849</v>
      </c>
      <c r="AY16" s="30">
        <v>3.7378293629077666</v>
      </c>
      <c r="AZ16" s="30">
        <v>0</v>
      </c>
      <c r="BA16" s="30">
        <v>0</v>
      </c>
      <c r="BB16" s="30">
        <v>1.3969277688302733</v>
      </c>
      <c r="BC16" s="30">
        <v>20.43685080603256</v>
      </c>
      <c r="BD16" s="30">
        <v>7.6291389127772363E-2</v>
      </c>
      <c r="BE16" s="30">
        <v>0.33104880879348858</v>
      </c>
      <c r="BF16" s="30">
        <v>6.7463301364808465E-2</v>
      </c>
      <c r="BG16" s="30">
        <v>0.39851211015829702</v>
      </c>
      <c r="BH16" s="30">
        <v>0</v>
      </c>
      <c r="BI16" s="30">
        <v>0.39851211015829702</v>
      </c>
    </row>
    <row r="17" spans="1:61" ht="15.75" customHeight="1" x14ac:dyDescent="0.2">
      <c r="A17" s="3" t="s">
        <v>827</v>
      </c>
      <c r="B17" s="3" t="s">
        <v>103</v>
      </c>
      <c r="C17" s="3" t="s">
        <v>826</v>
      </c>
      <c r="D17" s="28" t="s">
        <v>692</v>
      </c>
      <c r="E17" s="28" t="s">
        <v>828</v>
      </c>
      <c r="F17" s="32">
        <v>2000</v>
      </c>
      <c r="G17" s="32">
        <v>201</v>
      </c>
      <c r="H17" s="161">
        <v>16</v>
      </c>
      <c r="I17" s="28">
        <v>28.4</v>
      </c>
      <c r="J17" s="28">
        <v>20.399999999999999</v>
      </c>
      <c r="K17" s="28">
        <v>12.630031919254964</v>
      </c>
      <c r="L17" s="28">
        <v>7.9910025706940875</v>
      </c>
      <c r="M17" s="30">
        <v>5.3638588618255816E-2</v>
      </c>
      <c r="N17" s="30">
        <v>0</v>
      </c>
      <c r="O17" s="30">
        <v>0.24522133984702857</v>
      </c>
      <c r="P17" s="30">
        <v>1</v>
      </c>
      <c r="Q17" s="30">
        <v>0.13682066378525348</v>
      </c>
      <c r="R17" s="30">
        <v>5.815425493528414</v>
      </c>
      <c r="S17" s="30">
        <v>4.0707978454698894</v>
      </c>
      <c r="T17" s="30">
        <v>1.7446276480585245</v>
      </c>
      <c r="U17" s="30">
        <v>0</v>
      </c>
      <c r="V17" s="32">
        <v>15.773741787318528</v>
      </c>
      <c r="W17" s="32">
        <v>7.0458893374222287</v>
      </c>
      <c r="X17" s="32">
        <v>22.819631124740759</v>
      </c>
      <c r="Y17" s="32">
        <v>0</v>
      </c>
      <c r="Z17" s="32">
        <v>22.819631124740759</v>
      </c>
      <c r="AA17" s="32">
        <v>465.06220718156766</v>
      </c>
      <c r="AB17" s="28">
        <v>0</v>
      </c>
      <c r="AC17" s="28">
        <v>0</v>
      </c>
      <c r="AD17" s="28">
        <v>0</v>
      </c>
      <c r="AE17" s="28">
        <v>7.2727494433892357</v>
      </c>
      <c r="AF17" s="28">
        <v>0.79200402362364508</v>
      </c>
      <c r="AG17" s="28">
        <v>1.2256396143098167</v>
      </c>
      <c r="AH17" s="28">
        <v>0</v>
      </c>
      <c r="AI17" s="32">
        <v>33.81724576960724</v>
      </c>
      <c r="AJ17" s="30">
        <v>0.5593502455138214</v>
      </c>
      <c r="AK17" s="32">
        <v>3.8</v>
      </c>
      <c r="AL17" s="32">
        <v>0</v>
      </c>
      <c r="AM17" s="32">
        <v>1</v>
      </c>
      <c r="AN17" s="32">
        <v>0</v>
      </c>
      <c r="AO17" s="32">
        <v>20.341534054200061</v>
      </c>
      <c r="AP17" s="32">
        <v>3.9884555827743782</v>
      </c>
      <c r="AQ17" s="32">
        <v>0</v>
      </c>
      <c r="AR17" s="30">
        <v>6.12</v>
      </c>
      <c r="AS17" s="30">
        <v>18.36</v>
      </c>
      <c r="AT17" s="30">
        <v>0.6120000000000001</v>
      </c>
      <c r="AU17" s="30">
        <v>1.4076000000000002</v>
      </c>
      <c r="AV17" s="30">
        <v>0</v>
      </c>
      <c r="AW17" s="30">
        <v>0</v>
      </c>
      <c r="AX17" s="30">
        <v>0.20531457570986966</v>
      </c>
      <c r="AY17" s="30">
        <v>3.9431439386176361</v>
      </c>
      <c r="AZ17" s="30">
        <v>0</v>
      </c>
      <c r="BA17" s="30">
        <v>0</v>
      </c>
      <c r="BB17" s="30">
        <v>1.4629278938210579</v>
      </c>
      <c r="BC17" s="30">
        <v>26.052037178672215</v>
      </c>
      <c r="BD17" s="30">
        <v>9.8128273315932879E-2</v>
      </c>
      <c r="BE17" s="30">
        <v>0.40346090342813395</v>
      </c>
      <c r="BF17" s="30">
        <v>9.3179480046095983E-2</v>
      </c>
      <c r="BG17" s="30">
        <v>0.49664038347422995</v>
      </c>
      <c r="BH17" s="30">
        <v>0</v>
      </c>
      <c r="BI17" s="30">
        <v>0.4966403834742299</v>
      </c>
    </row>
    <row r="18" spans="1:61" ht="15.75" customHeight="1" x14ac:dyDescent="0.2">
      <c r="A18" s="3" t="s">
        <v>827</v>
      </c>
      <c r="B18" s="3" t="s">
        <v>103</v>
      </c>
      <c r="C18" s="3" t="s">
        <v>826</v>
      </c>
      <c r="D18" s="28" t="s">
        <v>692</v>
      </c>
      <c r="E18" s="28" t="s">
        <v>828</v>
      </c>
      <c r="F18" s="32">
        <v>2000</v>
      </c>
      <c r="G18" s="32">
        <v>202</v>
      </c>
      <c r="H18" s="161">
        <v>17</v>
      </c>
      <c r="I18" s="28">
        <v>29.200000000000003</v>
      </c>
      <c r="J18" s="28">
        <v>21.200000000000003</v>
      </c>
      <c r="K18" s="28">
        <v>13.361798771652058</v>
      </c>
      <c r="L18" s="28">
        <v>8.5359897172236501</v>
      </c>
      <c r="M18" s="30">
        <v>6.3355895409097154E-2</v>
      </c>
      <c r="N18" s="30">
        <v>0</v>
      </c>
      <c r="O18" s="30">
        <v>0.29885992846528436</v>
      </c>
      <c r="P18" s="30">
        <v>1</v>
      </c>
      <c r="Q18" s="30">
        <v>0.16415823245145433</v>
      </c>
      <c r="R18" s="30">
        <v>6.2051811866649729</v>
      </c>
      <c r="S18" s="30">
        <v>4.3436268306654808</v>
      </c>
      <c r="T18" s="30">
        <v>1.861554355999492</v>
      </c>
      <c r="U18" s="30">
        <v>0</v>
      </c>
      <c r="V18" s="32">
        <v>20.11736861798401</v>
      </c>
      <c r="W18" s="32">
        <v>8.9074436934217207</v>
      </c>
      <c r="X18" s="32">
        <v>29.024812311405732</v>
      </c>
      <c r="Y18" s="32">
        <v>0</v>
      </c>
      <c r="Z18" s="32">
        <v>29.024812311405732</v>
      </c>
      <c r="AA18" s="32">
        <v>489.21051331067173</v>
      </c>
      <c r="AB18" s="28">
        <v>0</v>
      </c>
      <c r="AC18" s="28">
        <v>0</v>
      </c>
      <c r="AD18" s="28">
        <v>0</v>
      </c>
      <c r="AE18" s="28">
        <v>7.0139842730524418</v>
      </c>
      <c r="AF18" s="28">
        <v>0.72204370859842004</v>
      </c>
      <c r="AG18" s="28">
        <v>1.5322215545724163</v>
      </c>
      <c r="AH18" s="28">
        <v>0</v>
      </c>
      <c r="AI18" s="32">
        <v>35.205243217383959</v>
      </c>
      <c r="AJ18" s="30">
        <v>0.55356447958972832</v>
      </c>
      <c r="AK18" s="32">
        <v>3.8</v>
      </c>
      <c r="AL18" s="32">
        <v>0</v>
      </c>
      <c r="AM18" s="32">
        <v>1</v>
      </c>
      <c r="AN18" s="32">
        <v>0</v>
      </c>
      <c r="AO18" s="32">
        <v>21.063577762798481</v>
      </c>
      <c r="AP18" s="32">
        <v>5.5206771373467944</v>
      </c>
      <c r="AQ18" s="32">
        <v>0</v>
      </c>
      <c r="AR18" s="30">
        <v>0</v>
      </c>
      <c r="AS18" s="30">
        <v>18.36</v>
      </c>
      <c r="AT18" s="30">
        <v>0</v>
      </c>
      <c r="AU18" s="30">
        <v>1.4076000000000002</v>
      </c>
      <c r="AV18" s="30">
        <v>0</v>
      </c>
      <c r="AW18" s="30">
        <v>0</v>
      </c>
      <c r="AX18" s="30">
        <v>0.20943051676795621</v>
      </c>
      <c r="AY18" s="30">
        <v>4.1525744553855919</v>
      </c>
      <c r="AZ18" s="30">
        <v>0</v>
      </c>
      <c r="BA18" s="30">
        <v>0</v>
      </c>
      <c r="BB18" s="30">
        <v>1.5211777926856205</v>
      </c>
      <c r="BC18" s="30">
        <v>26.154965410160901</v>
      </c>
      <c r="BD18" s="30">
        <v>0.10650235808005003</v>
      </c>
      <c r="BE18" s="30">
        <v>0.48899136223041512</v>
      </c>
      <c r="BF18" s="30">
        <v>0.11415137932386485</v>
      </c>
      <c r="BG18" s="30">
        <v>0.60314274155427994</v>
      </c>
      <c r="BH18" s="30">
        <v>0</v>
      </c>
      <c r="BI18" s="30">
        <v>0.60314274155427994</v>
      </c>
    </row>
    <row r="19" spans="1:61" ht="15.75" customHeight="1" x14ac:dyDescent="0.2">
      <c r="A19" s="3" t="s">
        <v>827</v>
      </c>
      <c r="B19" s="3" t="s">
        <v>103</v>
      </c>
      <c r="C19" s="3" t="s">
        <v>826</v>
      </c>
      <c r="D19" s="28" t="s">
        <v>692</v>
      </c>
      <c r="E19" s="28" t="s">
        <v>828</v>
      </c>
      <c r="F19" s="32">
        <v>2000</v>
      </c>
      <c r="G19" s="32">
        <v>203</v>
      </c>
      <c r="H19" s="161">
        <v>18</v>
      </c>
      <c r="I19" s="28">
        <v>29.900000000000002</v>
      </c>
      <c r="J19" s="28">
        <v>21.900000000000002</v>
      </c>
      <c r="K19" s="28">
        <v>14.095354580437432</v>
      </c>
      <c r="L19" s="28">
        <v>9.0989717223650377</v>
      </c>
      <c r="M19" s="30">
        <v>7.4102081106204531E-2</v>
      </c>
      <c r="N19" s="30">
        <v>0</v>
      </c>
      <c r="O19" s="30">
        <v>0.3622158238743815</v>
      </c>
      <c r="P19" s="30">
        <v>1</v>
      </c>
      <c r="Q19" s="30">
        <v>0.19533520686218808</v>
      </c>
      <c r="R19" s="30">
        <v>7.6133850226606423</v>
      </c>
      <c r="S19" s="30">
        <v>5.3293695158624494</v>
      </c>
      <c r="T19" s="30">
        <v>2.2840155067981929</v>
      </c>
      <c r="U19" s="30">
        <v>0</v>
      </c>
      <c r="V19" s="32">
        <v>25.446738133846459</v>
      </c>
      <c r="W19" s="32">
        <v>11.191459200219914</v>
      </c>
      <c r="X19" s="32">
        <v>36.638197334066376</v>
      </c>
      <c r="Y19" s="32">
        <v>0</v>
      </c>
      <c r="Z19" s="32">
        <v>36.638197334066376</v>
      </c>
      <c r="AA19" s="32">
        <v>513.41785500058904</v>
      </c>
      <c r="AB19" s="28">
        <v>0</v>
      </c>
      <c r="AC19" s="28">
        <v>0</v>
      </c>
      <c r="AD19" s="28">
        <v>0</v>
      </c>
      <c r="AE19" s="28">
        <v>7.1519861442891974</v>
      </c>
      <c r="AF19" s="28">
        <v>0.69373930833823949</v>
      </c>
      <c r="AG19" s="28">
        <v>1.6486289438461024</v>
      </c>
      <c r="AH19" s="28">
        <v>0</v>
      </c>
      <c r="AI19" s="32">
        <v>36.36850450678331</v>
      </c>
      <c r="AJ19" s="30">
        <v>0.54489286699025163</v>
      </c>
      <c r="AK19" s="32">
        <v>3.8</v>
      </c>
      <c r="AL19" s="32">
        <v>0</v>
      </c>
      <c r="AM19" s="32">
        <v>1</v>
      </c>
      <c r="AN19" s="32">
        <v>0</v>
      </c>
      <c r="AO19" s="32">
        <v>21.757317071136722</v>
      </c>
      <c r="AP19" s="32">
        <v>7.1693060811928966</v>
      </c>
      <c r="AQ19" s="32">
        <v>0</v>
      </c>
      <c r="AR19" s="30">
        <v>0</v>
      </c>
      <c r="AS19" s="30">
        <v>18.36</v>
      </c>
      <c r="AT19" s="30">
        <v>0</v>
      </c>
      <c r="AU19" s="30">
        <v>1.4076000000000002</v>
      </c>
      <c r="AV19" s="30">
        <v>0</v>
      </c>
      <c r="AW19" s="30">
        <v>0</v>
      </c>
      <c r="AX19" s="30">
        <v>0.21147719322188646</v>
      </c>
      <c r="AY19" s="30">
        <v>4.3640516486074787</v>
      </c>
      <c r="AZ19" s="30">
        <v>0</v>
      </c>
      <c r="BA19" s="30">
        <v>0</v>
      </c>
      <c r="BB19" s="30">
        <v>1.5692609003613098</v>
      </c>
      <c r="BC19" s="30">
        <v>26.237716225941714</v>
      </c>
      <c r="BD19" s="30">
        <v>0.1287264620639032</v>
      </c>
      <c r="BE19" s="30">
        <v>0.58902917172379121</v>
      </c>
      <c r="BF19" s="30">
        <v>0.14284003189439193</v>
      </c>
      <c r="BG19" s="30">
        <v>0.73186920361818308</v>
      </c>
      <c r="BH19" s="30">
        <v>0</v>
      </c>
      <c r="BI19" s="30">
        <v>0.73186920361818308</v>
      </c>
    </row>
    <row r="20" spans="1:61" ht="15.75" customHeight="1" x14ac:dyDescent="0.2">
      <c r="A20" s="3" t="s">
        <v>827</v>
      </c>
      <c r="B20" s="3" t="s">
        <v>103</v>
      </c>
      <c r="C20" s="3" t="s">
        <v>826</v>
      </c>
      <c r="D20" s="28" t="s">
        <v>692</v>
      </c>
      <c r="E20" s="28" t="s">
        <v>828</v>
      </c>
      <c r="F20" s="32">
        <v>2000</v>
      </c>
      <c r="G20" s="32">
        <v>204</v>
      </c>
      <c r="H20" s="161">
        <v>19</v>
      </c>
      <c r="I20" s="28">
        <v>28.6</v>
      </c>
      <c r="J20" s="28">
        <v>20.6</v>
      </c>
      <c r="K20" s="28">
        <v>14.830752845321971</v>
      </c>
      <c r="L20" s="28">
        <v>9.6285347043701783</v>
      </c>
      <c r="M20" s="30">
        <v>7.8198244350991708E-2</v>
      </c>
      <c r="N20" s="30">
        <v>0</v>
      </c>
      <c r="O20" s="30">
        <v>0.43631790498058604</v>
      </c>
      <c r="P20" s="30">
        <v>1</v>
      </c>
      <c r="Q20" s="30">
        <v>0.23032793386613182</v>
      </c>
      <c r="R20" s="30">
        <v>10.757235823283819</v>
      </c>
      <c r="S20" s="30">
        <v>7.5300650762986727</v>
      </c>
      <c r="T20" s="30">
        <v>3.2271707469851467</v>
      </c>
      <c r="U20" s="30">
        <v>0</v>
      </c>
      <c r="V20" s="32">
        <v>32.976803210145135</v>
      </c>
      <c r="W20" s="32">
        <v>14.41862994720506</v>
      </c>
      <c r="X20" s="32">
        <v>47.395433157350197</v>
      </c>
      <c r="Y20" s="32">
        <v>0</v>
      </c>
      <c r="Z20" s="32">
        <v>47.395433157350197</v>
      </c>
      <c r="AA20" s="32">
        <v>537.68599774177881</v>
      </c>
      <c r="AB20" s="28">
        <v>0</v>
      </c>
      <c r="AC20" s="28">
        <v>0</v>
      </c>
      <c r="AD20" s="28">
        <v>0</v>
      </c>
      <c r="AE20" s="28">
        <v>8.0213524749702074</v>
      </c>
      <c r="AF20" s="28">
        <v>0.73028229263233435</v>
      </c>
      <c r="AG20" s="28">
        <v>2.290045349503095</v>
      </c>
      <c r="AH20" s="28">
        <v>0</v>
      </c>
      <c r="AI20" s="32">
        <v>36.789522869579372</v>
      </c>
      <c r="AJ20" s="30">
        <v>0.52632266965207986</v>
      </c>
      <c r="AK20" s="32">
        <v>3.8</v>
      </c>
      <c r="AL20" s="32">
        <v>0</v>
      </c>
      <c r="AM20" s="32">
        <v>1</v>
      </c>
      <c r="AN20" s="32">
        <v>0</v>
      </c>
      <c r="AO20" s="32">
        <v>22.487599363769057</v>
      </c>
      <c r="AP20" s="32">
        <v>9.4593514306959925</v>
      </c>
      <c r="AQ20" s="32">
        <v>0</v>
      </c>
      <c r="AR20" s="30">
        <v>0</v>
      </c>
      <c r="AS20" s="30">
        <v>18.36</v>
      </c>
      <c r="AT20" s="30">
        <v>0</v>
      </c>
      <c r="AU20" s="30">
        <v>1.4076000000000002</v>
      </c>
      <c r="AV20" s="30">
        <v>0</v>
      </c>
      <c r="AW20" s="30">
        <v>0</v>
      </c>
      <c r="AX20" s="30">
        <v>0.1837566265751015</v>
      </c>
      <c r="AY20" s="30">
        <v>4.5478082751825806</v>
      </c>
      <c r="AZ20" s="30">
        <v>0</v>
      </c>
      <c r="BA20" s="30">
        <v>0</v>
      </c>
      <c r="BB20" s="30">
        <v>1.5850542112115125</v>
      </c>
      <c r="BC20" s="30">
        <v>26.271699862620693</v>
      </c>
      <c r="BD20" s="30">
        <v>0.1497730853378631</v>
      </c>
      <c r="BE20" s="30">
        <v>0.69459680159763004</v>
      </c>
      <c r="BF20" s="30">
        <v>0.1870454873584162</v>
      </c>
      <c r="BG20" s="30">
        <v>0.88164228895604624</v>
      </c>
      <c r="BH20" s="30">
        <v>0</v>
      </c>
      <c r="BI20" s="30">
        <v>0.88164228895604624</v>
      </c>
    </row>
    <row r="21" spans="1:61" ht="15.75" customHeight="1" x14ac:dyDescent="0.2">
      <c r="A21" s="3" t="s">
        <v>827</v>
      </c>
      <c r="B21" s="3" t="s">
        <v>103</v>
      </c>
      <c r="C21" s="3" t="s">
        <v>826</v>
      </c>
      <c r="D21" s="28" t="s">
        <v>692</v>
      </c>
      <c r="E21" s="28" t="s">
        <v>828</v>
      </c>
      <c r="F21" s="32">
        <v>2000</v>
      </c>
      <c r="G21" s="32">
        <v>205</v>
      </c>
      <c r="H21" s="161">
        <v>20</v>
      </c>
      <c r="I21" s="28">
        <v>29.5</v>
      </c>
      <c r="J21" s="28">
        <v>21.5</v>
      </c>
      <c r="K21" s="28">
        <v>15.568046541708613</v>
      </c>
      <c r="L21" s="28">
        <v>10.181233933161952</v>
      </c>
      <c r="M21" s="30">
        <v>9.0880609076081503E-2</v>
      </c>
      <c r="N21" s="30">
        <v>0</v>
      </c>
      <c r="O21" s="30">
        <v>0.51451614933157774</v>
      </c>
      <c r="P21" s="30">
        <v>1</v>
      </c>
      <c r="Q21" s="30">
        <v>0.2656060587185255</v>
      </c>
      <c r="R21" s="30">
        <v>10.843101741125084</v>
      </c>
      <c r="S21" s="30">
        <v>7.5901712187875585</v>
      </c>
      <c r="T21" s="30">
        <v>3.2529305223375253</v>
      </c>
      <c r="U21" s="30">
        <v>0</v>
      </c>
      <c r="V21" s="32">
        <v>40.566974428932696</v>
      </c>
      <c r="W21" s="32">
        <v>17.671560469542584</v>
      </c>
      <c r="X21" s="32">
        <v>58.23853489847528</v>
      </c>
      <c r="Y21" s="32">
        <v>0</v>
      </c>
      <c r="Z21" s="32">
        <v>58.23853489847528</v>
      </c>
      <c r="AA21" s="32">
        <v>562.01668972253799</v>
      </c>
      <c r="AB21" s="28">
        <v>0</v>
      </c>
      <c r="AC21" s="28">
        <v>0</v>
      </c>
      <c r="AD21" s="28">
        <v>0</v>
      </c>
      <c r="AE21" s="28">
        <v>7.4041614871148358</v>
      </c>
      <c r="AF21" s="28">
        <v>0.6322305759943706</v>
      </c>
      <c r="AG21" s="28">
        <v>2.4522857688627266</v>
      </c>
      <c r="AH21" s="28">
        <v>0</v>
      </c>
      <c r="AI21" s="32">
        <v>36.83116763091536</v>
      </c>
      <c r="AJ21" s="30">
        <v>0.50410722539900887</v>
      </c>
      <c r="AK21" s="32">
        <v>3.8</v>
      </c>
      <c r="AL21" s="32">
        <v>0</v>
      </c>
      <c r="AM21" s="32">
        <v>1</v>
      </c>
      <c r="AN21" s="32">
        <v>0</v>
      </c>
      <c r="AO21" s="32">
        <v>23.119829939763427</v>
      </c>
      <c r="AP21" s="32">
        <v>11.911637199558719</v>
      </c>
      <c r="AQ21" s="32">
        <v>0</v>
      </c>
      <c r="AR21" s="30">
        <v>0</v>
      </c>
      <c r="AS21" s="30">
        <v>18.36</v>
      </c>
      <c r="AT21" s="30">
        <v>0</v>
      </c>
      <c r="AU21" s="30">
        <v>1.4076000000000002</v>
      </c>
      <c r="AV21" s="30">
        <v>0</v>
      </c>
      <c r="AW21" s="30">
        <v>0</v>
      </c>
      <c r="AX21" s="30">
        <v>0.18536802513552236</v>
      </c>
      <c r="AY21" s="30">
        <v>4.7331763003181031</v>
      </c>
      <c r="AZ21" s="30">
        <v>0</v>
      </c>
      <c r="BA21" s="30">
        <v>0</v>
      </c>
      <c r="BB21" s="30">
        <v>1.5883259320325718</v>
      </c>
      <c r="BC21" s="30">
        <v>26.299625047677615</v>
      </c>
      <c r="BD21" s="30">
        <v>0.15744293940822301</v>
      </c>
      <c r="BE21" s="30">
        <v>0.81728562385034009</v>
      </c>
      <c r="BF21" s="30">
        <v>0.22179960451392916</v>
      </c>
      <c r="BG21" s="30">
        <v>1.0390852283642693</v>
      </c>
      <c r="BH21" s="30">
        <v>0</v>
      </c>
      <c r="BI21" s="30">
        <v>1.0390852283642693</v>
      </c>
    </row>
    <row r="22" spans="1:61" ht="15.75" customHeight="1" x14ac:dyDescent="0.2">
      <c r="A22" s="3" t="s">
        <v>827</v>
      </c>
      <c r="B22" s="3" t="s">
        <v>103</v>
      </c>
      <c r="C22" s="3" t="s">
        <v>826</v>
      </c>
      <c r="D22" s="28" t="s">
        <v>692</v>
      </c>
      <c r="E22" s="28" t="s">
        <v>828</v>
      </c>
      <c r="F22" s="32">
        <v>2000</v>
      </c>
      <c r="G22" s="32">
        <v>206</v>
      </c>
      <c r="H22" s="161">
        <v>21</v>
      </c>
      <c r="I22" s="28">
        <v>28.9</v>
      </c>
      <c r="J22" s="28">
        <v>20.9</v>
      </c>
      <c r="K22" s="28">
        <v>16.371892695554767</v>
      </c>
      <c r="L22" s="28">
        <v>10.718508997429304</v>
      </c>
      <c r="M22" s="30">
        <v>9.7879477102509618E-2</v>
      </c>
      <c r="N22" s="30">
        <v>0</v>
      </c>
      <c r="O22" s="30">
        <v>0.60539675840765927</v>
      </c>
      <c r="P22" s="30">
        <v>1</v>
      </c>
      <c r="Q22" s="30">
        <v>0.30457913465240294</v>
      </c>
      <c r="R22" s="30">
        <v>9.2616423265102696</v>
      </c>
      <c r="S22" s="30">
        <v>6.4831496285571886</v>
      </c>
      <c r="T22" s="30">
        <v>2.7784926979530811</v>
      </c>
      <c r="U22" s="30">
        <v>0</v>
      </c>
      <c r="V22" s="32">
        <v>47.050124057489882</v>
      </c>
      <c r="W22" s="32">
        <v>20.450053167495664</v>
      </c>
      <c r="X22" s="32">
        <v>67.500177224985549</v>
      </c>
      <c r="Y22" s="32">
        <v>0</v>
      </c>
      <c r="Z22" s="32">
        <v>67.500177224985549</v>
      </c>
      <c r="AA22" s="32">
        <v>588.54361279946102</v>
      </c>
      <c r="AB22" s="28">
        <v>0</v>
      </c>
      <c r="AC22" s="28">
        <v>0</v>
      </c>
      <c r="AD22" s="28">
        <v>0</v>
      </c>
      <c r="AE22" s="28">
        <v>5.4025699519887445</v>
      </c>
      <c r="AF22" s="28">
        <v>0.43044761263001402</v>
      </c>
      <c r="AG22" s="28">
        <v>2.1583220664150855</v>
      </c>
      <c r="AH22" s="28">
        <v>0</v>
      </c>
      <c r="AI22" s="32">
        <v>37.103116677003442</v>
      </c>
      <c r="AJ22" s="30">
        <v>0.48494042517177544</v>
      </c>
      <c r="AK22" s="32">
        <v>3.8</v>
      </c>
      <c r="AL22" s="32">
        <v>0</v>
      </c>
      <c r="AM22" s="32">
        <v>1</v>
      </c>
      <c r="AN22" s="32">
        <v>0</v>
      </c>
      <c r="AO22" s="32">
        <v>23.550277552393442</v>
      </c>
      <c r="AP22" s="32">
        <v>14.069959265973804</v>
      </c>
      <c r="AQ22" s="32">
        <v>0</v>
      </c>
      <c r="AR22" s="30">
        <v>0</v>
      </c>
      <c r="AS22" s="30">
        <v>18.36</v>
      </c>
      <c r="AT22" s="30">
        <v>0</v>
      </c>
      <c r="AU22" s="30">
        <v>1.4076000000000002</v>
      </c>
      <c r="AV22" s="30">
        <v>0</v>
      </c>
      <c r="AW22" s="30">
        <v>0</v>
      </c>
      <c r="AX22" s="30">
        <v>0.16916285880734055</v>
      </c>
      <c r="AY22" s="30">
        <v>4.9023391591254439</v>
      </c>
      <c r="AZ22" s="30">
        <v>0</v>
      </c>
      <c r="BA22" s="30">
        <v>0</v>
      </c>
      <c r="BB22" s="30">
        <v>1.5943826746268348</v>
      </c>
      <c r="BC22" s="30">
        <v>26.307198691533824</v>
      </c>
      <c r="BD22" s="30">
        <v>0.16158931668669063</v>
      </c>
      <c r="BE22" s="30">
        <v>0.94942291793872813</v>
      </c>
      <c r="BF22" s="30">
        <v>0.25125162711223181</v>
      </c>
      <c r="BG22" s="30">
        <v>1.2006745450509599</v>
      </c>
      <c r="BH22" s="30">
        <v>0</v>
      </c>
      <c r="BI22" s="30">
        <v>1.2006745450509599</v>
      </c>
    </row>
    <row r="23" spans="1:61" ht="15.75" customHeight="1" x14ac:dyDescent="0.2">
      <c r="A23" s="3" t="s">
        <v>827</v>
      </c>
      <c r="B23" s="3" t="s">
        <v>103</v>
      </c>
      <c r="C23" s="3" t="s">
        <v>826</v>
      </c>
      <c r="D23" s="28" t="s">
        <v>692</v>
      </c>
      <c r="E23" s="28" t="s">
        <v>828</v>
      </c>
      <c r="F23" s="32">
        <v>2000</v>
      </c>
      <c r="G23" s="32">
        <v>207</v>
      </c>
      <c r="H23" s="161">
        <v>22</v>
      </c>
      <c r="I23" s="28">
        <v>28.700000000000003</v>
      </c>
      <c r="J23" s="28">
        <v>20.700000000000003</v>
      </c>
      <c r="K23" s="28">
        <v>17.168046541708613</v>
      </c>
      <c r="L23" s="28">
        <v>11.250642673521849</v>
      </c>
      <c r="M23" s="30">
        <v>0.10665757930313946</v>
      </c>
      <c r="N23" s="30">
        <v>0</v>
      </c>
      <c r="O23" s="30">
        <v>0.70327623551016893</v>
      </c>
      <c r="P23" s="30">
        <v>1</v>
      </c>
      <c r="Q23" s="30">
        <v>0.34424349563001555</v>
      </c>
      <c r="R23" s="30">
        <v>11.797913082231892</v>
      </c>
      <c r="S23" s="30">
        <v>8.258539157562323</v>
      </c>
      <c r="T23" s="30">
        <v>3.5393739246695688</v>
      </c>
      <c r="U23" s="30">
        <v>0</v>
      </c>
      <c r="V23" s="32">
        <v>55.308663215052206</v>
      </c>
      <c r="W23" s="32">
        <v>23.989427092165233</v>
      </c>
      <c r="X23" s="32">
        <v>79.298090307217436</v>
      </c>
      <c r="Y23" s="32">
        <v>0</v>
      </c>
      <c r="Z23" s="32">
        <v>79.298090307217436</v>
      </c>
      <c r="AA23" s="32">
        <v>614.81668972253794</v>
      </c>
      <c r="AB23" s="28">
        <v>0</v>
      </c>
      <c r="AC23" s="28">
        <v>39.40755298692649</v>
      </c>
      <c r="AD23" s="28">
        <v>0</v>
      </c>
      <c r="AE23" s="28">
        <v>5.6704077958793713</v>
      </c>
      <c r="AF23" s="28">
        <v>1.6524339662740981</v>
      </c>
      <c r="AG23" s="28">
        <v>2.2495661226838948</v>
      </c>
      <c r="AH23" s="28">
        <v>0</v>
      </c>
      <c r="AI23" s="32">
        <v>70.537738509819803</v>
      </c>
      <c r="AJ23" s="30">
        <v>0.88253620568099034</v>
      </c>
      <c r="AK23" s="32">
        <v>3.8</v>
      </c>
      <c r="AL23" s="32">
        <v>39.40755298692649</v>
      </c>
      <c r="AM23" s="32">
        <v>2</v>
      </c>
      <c r="AN23" s="32">
        <v>0</v>
      </c>
      <c r="AO23" s="32">
        <v>25.202711518667542</v>
      </c>
      <c r="AP23" s="32">
        <v>16.319525388657699</v>
      </c>
      <c r="AQ23" s="32">
        <v>0</v>
      </c>
      <c r="AR23" s="30">
        <v>0</v>
      </c>
      <c r="AS23" s="30">
        <v>18.36</v>
      </c>
      <c r="AT23" s="30">
        <v>0</v>
      </c>
      <c r="AU23" s="30">
        <v>1.4076000000000002</v>
      </c>
      <c r="AV23" s="30">
        <v>0</v>
      </c>
      <c r="AW23" s="30">
        <v>0</v>
      </c>
      <c r="AX23" s="30">
        <v>0.18511787722477785</v>
      </c>
      <c r="AY23" s="30">
        <v>5.0874570363502221</v>
      </c>
      <c r="AZ23" s="30">
        <v>1.3510565938154095</v>
      </c>
      <c r="BA23" s="30">
        <v>1.3510565938154095</v>
      </c>
      <c r="BB23" s="30">
        <v>11.092580553618212</v>
      </c>
      <c r="BC23" s="30">
        <v>24.95671869496239</v>
      </c>
      <c r="BD23" s="30">
        <v>0.18454139572545539</v>
      </c>
      <c r="BE23" s="30">
        <v>1.0934106499979663</v>
      </c>
      <c r="BF23" s="30">
        <v>0.29180529077844891</v>
      </c>
      <c r="BG23" s="30">
        <v>1.3852159407764153</v>
      </c>
      <c r="BH23" s="30">
        <v>0</v>
      </c>
      <c r="BI23" s="30">
        <v>1.3852159407764153</v>
      </c>
    </row>
    <row r="24" spans="1:61" ht="15.75" customHeight="1" x14ac:dyDescent="0.2">
      <c r="A24" s="3" t="s">
        <v>827</v>
      </c>
      <c r="B24" s="3" t="s">
        <v>103</v>
      </c>
      <c r="C24" s="3" t="s">
        <v>826</v>
      </c>
      <c r="D24" s="28" t="s">
        <v>692</v>
      </c>
      <c r="E24" s="28" t="s">
        <v>828</v>
      </c>
      <c r="F24" s="32">
        <v>2000</v>
      </c>
      <c r="G24" s="32">
        <v>208</v>
      </c>
      <c r="H24" s="161">
        <v>23</v>
      </c>
      <c r="I24" s="28">
        <v>28.4</v>
      </c>
      <c r="J24" s="28">
        <v>20.399999999999999</v>
      </c>
      <c r="K24" s="28">
        <v>17.952661926323998</v>
      </c>
      <c r="L24" s="28">
        <v>11.775064267352183</v>
      </c>
      <c r="M24" s="30">
        <v>0.1149985112452922</v>
      </c>
      <c r="N24" s="30">
        <v>0</v>
      </c>
      <c r="O24" s="30">
        <v>0.80993381481330839</v>
      </c>
      <c r="P24" s="30">
        <v>1</v>
      </c>
      <c r="Q24" s="30">
        <v>0.38489376661893282</v>
      </c>
      <c r="R24" s="30">
        <v>16.553511114747064</v>
      </c>
      <c r="S24" s="30">
        <v>11.587457780322945</v>
      </c>
      <c r="T24" s="30">
        <v>4.9660533344241191</v>
      </c>
      <c r="U24" s="30">
        <v>0</v>
      </c>
      <c r="V24" s="32">
        <v>66.896120995375156</v>
      </c>
      <c r="W24" s="32">
        <v>28.955480426589354</v>
      </c>
      <c r="X24" s="32">
        <v>95.851601421964503</v>
      </c>
      <c r="Y24" s="32">
        <v>0</v>
      </c>
      <c r="Z24" s="32">
        <v>95.851601421964503</v>
      </c>
      <c r="AA24" s="32">
        <v>640.70899741484561</v>
      </c>
      <c r="AB24" s="28">
        <v>0</v>
      </c>
      <c r="AC24" s="28">
        <v>0</v>
      </c>
      <c r="AD24" s="28">
        <v>0</v>
      </c>
      <c r="AE24" s="28">
        <v>7.059692458552993</v>
      </c>
      <c r="AF24" s="28">
        <v>1.4966342404947164</v>
      </c>
      <c r="AG24" s="28">
        <v>3.2714000376191503</v>
      </c>
      <c r="AH24" s="28">
        <v>0</v>
      </c>
      <c r="AI24" s="32">
        <v>68.841989896540369</v>
      </c>
      <c r="AJ24" s="30">
        <v>0.82651214603133005</v>
      </c>
      <c r="AK24" s="32">
        <v>3.8</v>
      </c>
      <c r="AL24" s="32">
        <v>39.40755298692649</v>
      </c>
      <c r="AM24" s="32">
        <v>2</v>
      </c>
      <c r="AN24" s="32">
        <v>0</v>
      </c>
      <c r="AO24" s="32">
        <v>26.699345759162259</v>
      </c>
      <c r="AP24" s="32">
        <v>19.590925426276847</v>
      </c>
      <c r="AQ24" s="32">
        <v>0</v>
      </c>
      <c r="AR24" s="30">
        <v>0</v>
      </c>
      <c r="AS24" s="30">
        <v>18.36</v>
      </c>
      <c r="AT24" s="30">
        <v>0</v>
      </c>
      <c r="AU24" s="30">
        <v>1.4076000000000002</v>
      </c>
      <c r="AV24" s="30">
        <v>0</v>
      </c>
      <c r="AW24" s="30">
        <v>0</v>
      </c>
      <c r="AX24" s="30">
        <v>0.12893053793225157</v>
      </c>
      <c r="AY24" s="30">
        <v>5.2163875742824732</v>
      </c>
      <c r="AZ24" s="30">
        <v>0.94017376135085862</v>
      </c>
      <c r="BA24" s="30">
        <v>2.2912303551662681</v>
      </c>
      <c r="BB24" s="30">
        <v>9.8955342607776799</v>
      </c>
      <c r="BC24" s="30">
        <v>23.922464534378861</v>
      </c>
      <c r="BD24" s="30">
        <v>0.2230109572694384</v>
      </c>
      <c r="BE24" s="30">
        <v>1.2486586401791109</v>
      </c>
      <c r="BF24" s="30">
        <v>0.35956825786674285</v>
      </c>
      <c r="BG24" s="30">
        <v>1.6082268980458538</v>
      </c>
      <c r="BH24" s="30">
        <v>0</v>
      </c>
      <c r="BI24" s="30">
        <v>1.6082268980458536</v>
      </c>
    </row>
    <row r="25" spans="1:61" ht="15.75" customHeight="1" x14ac:dyDescent="0.2">
      <c r="A25" s="3" t="s">
        <v>827</v>
      </c>
      <c r="B25" s="3" t="s">
        <v>103</v>
      </c>
      <c r="C25" s="3" t="s">
        <v>826</v>
      </c>
      <c r="D25" s="28" t="s">
        <v>692</v>
      </c>
      <c r="E25" s="28" t="s">
        <v>828</v>
      </c>
      <c r="F25" s="32">
        <v>2000</v>
      </c>
      <c r="G25" s="32">
        <v>209</v>
      </c>
      <c r="H25" s="161">
        <v>24</v>
      </c>
      <c r="I25" s="28">
        <v>28.6</v>
      </c>
      <c r="J25" s="28">
        <v>20.6</v>
      </c>
      <c r="K25" s="28">
        <v>18.744969618631689</v>
      </c>
      <c r="L25" s="28">
        <v>12.304627249357324</v>
      </c>
      <c r="M25" s="30">
        <v>0.12651241323104853</v>
      </c>
      <c r="N25" s="30">
        <v>0</v>
      </c>
      <c r="O25" s="30">
        <v>0.92493232605860065</v>
      </c>
      <c r="P25" s="30">
        <v>1</v>
      </c>
      <c r="Q25" s="30">
        <v>0.42590442849077903</v>
      </c>
      <c r="R25" s="30">
        <v>15.526771845059837</v>
      </c>
      <c r="S25" s="30">
        <v>10.868740291541885</v>
      </c>
      <c r="T25" s="30">
        <v>4.6580315535179526</v>
      </c>
      <c r="U25" s="30">
        <v>0</v>
      </c>
      <c r="V25" s="32">
        <v>77.764861286917039</v>
      </c>
      <c r="W25" s="32">
        <v>33.613511980107305</v>
      </c>
      <c r="X25" s="32">
        <v>111.37837326702434</v>
      </c>
      <c r="Y25" s="32">
        <v>0</v>
      </c>
      <c r="Z25" s="32">
        <v>111.37837326702434</v>
      </c>
      <c r="AA25" s="32">
        <v>666.85515126099949</v>
      </c>
      <c r="AB25" s="28">
        <v>0</v>
      </c>
      <c r="AC25" s="28">
        <v>0</v>
      </c>
      <c r="AD25" s="28">
        <v>0</v>
      </c>
      <c r="AE25" s="28">
        <v>6.2054311115331826</v>
      </c>
      <c r="AF25" s="28">
        <v>1.0470752846115869</v>
      </c>
      <c r="AG25" s="28">
        <v>3.4087793017510672</v>
      </c>
      <c r="AH25" s="28">
        <v>0</v>
      </c>
      <c r="AI25" s="32">
        <v>67.557051984104731</v>
      </c>
      <c r="AJ25" s="30">
        <v>0.77928412139320291</v>
      </c>
      <c r="AK25" s="32">
        <v>3.8</v>
      </c>
      <c r="AL25" s="32">
        <v>39.40755298692649</v>
      </c>
      <c r="AM25" s="32">
        <v>2</v>
      </c>
      <c r="AN25" s="32">
        <v>0</v>
      </c>
      <c r="AO25" s="32">
        <v>27.746421043773847</v>
      </c>
      <c r="AP25" s="32">
        <v>22.999704728027915</v>
      </c>
      <c r="AQ25" s="32">
        <v>0</v>
      </c>
      <c r="AR25" s="30">
        <v>0</v>
      </c>
      <c r="AS25" s="30">
        <v>18.36</v>
      </c>
      <c r="AT25" s="30">
        <v>0</v>
      </c>
      <c r="AU25" s="30">
        <v>1.4076000000000002</v>
      </c>
      <c r="AV25" s="30">
        <v>0</v>
      </c>
      <c r="AW25" s="30">
        <v>0</v>
      </c>
      <c r="AX25" s="30">
        <v>0.13359333102937121</v>
      </c>
      <c r="AY25" s="30">
        <v>5.3499809053118446</v>
      </c>
      <c r="AZ25" s="30">
        <v>0.8790388185898006</v>
      </c>
      <c r="BA25" s="30">
        <v>3.1702691737560684</v>
      </c>
      <c r="BB25" s="30">
        <v>9.0404364177275713</v>
      </c>
      <c r="BC25" s="30">
        <v>22.956852176738341</v>
      </c>
      <c r="BD25" s="30">
        <v>0.22016689232920583</v>
      </c>
      <c r="BE25" s="30">
        <v>1.4194503980410265</v>
      </c>
      <c r="BF25" s="30">
        <v>0.40894339233403315</v>
      </c>
      <c r="BG25" s="30">
        <v>1.8283937903750596</v>
      </c>
      <c r="BH25" s="30">
        <v>0</v>
      </c>
      <c r="BI25" s="30">
        <v>1.8283937903750593</v>
      </c>
    </row>
    <row r="26" spans="1:61" ht="15.75" customHeight="1" x14ac:dyDescent="0.2">
      <c r="A26" s="3" t="s">
        <v>827</v>
      </c>
      <c r="B26" s="3" t="s">
        <v>103</v>
      </c>
      <c r="C26" s="3" t="s">
        <v>826</v>
      </c>
      <c r="D26" s="28" t="s">
        <v>692</v>
      </c>
      <c r="E26" s="28" t="s">
        <v>828</v>
      </c>
      <c r="F26" s="32">
        <v>2000</v>
      </c>
      <c r="G26" s="32">
        <v>210</v>
      </c>
      <c r="H26" s="161">
        <v>25</v>
      </c>
      <c r="I26" s="28">
        <v>29.8</v>
      </c>
      <c r="J26" s="28">
        <v>21.8</v>
      </c>
      <c r="K26" s="28">
        <v>19.583431157093226</v>
      </c>
      <c r="L26" s="28">
        <v>12.865038560411309</v>
      </c>
      <c r="M26" s="30">
        <v>0.14572281813872143</v>
      </c>
      <c r="N26" s="30">
        <v>0</v>
      </c>
      <c r="O26" s="30">
        <v>1.0514447392896491</v>
      </c>
      <c r="P26" s="30">
        <v>1</v>
      </c>
      <c r="Q26" s="30">
        <v>0.46786967273158964</v>
      </c>
      <c r="R26" s="30">
        <v>20.908159935029278</v>
      </c>
      <c r="S26" s="30">
        <v>14.635711954520493</v>
      </c>
      <c r="T26" s="30">
        <v>6.2724479805087849</v>
      </c>
      <c r="U26" s="30">
        <v>0</v>
      </c>
      <c r="V26" s="32">
        <v>92.400573241437527</v>
      </c>
      <c r="W26" s="32">
        <v>39.885959960616091</v>
      </c>
      <c r="X26" s="32">
        <v>132.28653320205362</v>
      </c>
      <c r="Y26" s="32">
        <v>0</v>
      </c>
      <c r="Z26" s="32">
        <v>132.28653320205362</v>
      </c>
      <c r="AA26" s="32">
        <v>694.5243820302303</v>
      </c>
      <c r="AB26" s="28">
        <v>0</v>
      </c>
      <c r="AC26" s="28">
        <v>0</v>
      </c>
      <c r="AD26" s="28">
        <v>0</v>
      </c>
      <c r="AE26" s="28">
        <v>8.1262656781258737</v>
      </c>
      <c r="AF26" s="28">
        <v>1.1339914289475881</v>
      </c>
      <c r="AG26" s="28">
        <v>4.8736201271596959</v>
      </c>
      <c r="AH26" s="28">
        <v>0</v>
      </c>
      <c r="AI26" s="32">
        <v>64.997884523657874</v>
      </c>
      <c r="AJ26" s="30">
        <v>0.7198936999785529</v>
      </c>
      <c r="AK26" s="32">
        <v>3.8</v>
      </c>
      <c r="AL26" s="32">
        <v>39.40755298692649</v>
      </c>
      <c r="AM26" s="32">
        <v>2</v>
      </c>
      <c r="AN26" s="32">
        <v>0</v>
      </c>
      <c r="AO26" s="32">
        <v>28.880412472721435</v>
      </c>
      <c r="AP26" s="32">
        <v>27.873324855187612</v>
      </c>
      <c r="AQ26" s="32">
        <v>0</v>
      </c>
      <c r="AR26" s="30">
        <v>0</v>
      </c>
      <c r="AS26" s="30">
        <v>18.36</v>
      </c>
      <c r="AT26" s="30">
        <v>0</v>
      </c>
      <c r="AU26" s="30">
        <v>1.4076000000000002</v>
      </c>
      <c r="AV26" s="30">
        <v>0</v>
      </c>
      <c r="AW26" s="30">
        <v>0</v>
      </c>
      <c r="AX26" s="30">
        <v>0.14418807558037608</v>
      </c>
      <c r="AY26" s="30">
        <v>5.4941689808922209</v>
      </c>
      <c r="AZ26" s="30">
        <v>0</v>
      </c>
      <c r="BA26" s="30">
        <v>3.1702691737560684</v>
      </c>
      <c r="BB26" s="30">
        <v>8.5167141309077596</v>
      </c>
      <c r="BC26" s="30">
        <v>22.82397874663647</v>
      </c>
      <c r="BD26" s="30">
        <v>0.27706153632916447</v>
      </c>
      <c r="BE26" s="30">
        <v>1.6161762025283004</v>
      </c>
      <c r="BF26" s="30">
        <v>0.48927912417592367</v>
      </c>
      <c r="BG26" s="30">
        <v>2.1054553267042242</v>
      </c>
      <c r="BH26" s="30">
        <v>0</v>
      </c>
      <c r="BI26" s="30">
        <v>2.1054553267042238</v>
      </c>
    </row>
    <row r="27" spans="1:61" ht="15.75" customHeight="1" x14ac:dyDescent="0.2">
      <c r="A27" s="3" t="s">
        <v>827</v>
      </c>
      <c r="B27" s="3" t="s">
        <v>103</v>
      </c>
      <c r="C27" s="3" t="s">
        <v>826</v>
      </c>
      <c r="D27" s="28" t="s">
        <v>692</v>
      </c>
      <c r="E27" s="28" t="s">
        <v>828</v>
      </c>
      <c r="F27" s="32">
        <v>2000</v>
      </c>
      <c r="G27" s="32">
        <v>211</v>
      </c>
      <c r="H27" s="161">
        <v>26</v>
      </c>
      <c r="I27" s="28">
        <v>29.599999999999998</v>
      </c>
      <c r="J27" s="28">
        <v>21.599999999999998</v>
      </c>
      <c r="K27" s="28">
        <v>20.414200387862458</v>
      </c>
      <c r="L27" s="28">
        <v>13.420308483290485</v>
      </c>
      <c r="M27" s="30">
        <v>0.15688272332220773</v>
      </c>
      <c r="N27" s="30">
        <v>0</v>
      </c>
      <c r="O27" s="30">
        <v>1.1971675574283704</v>
      </c>
      <c r="P27" s="30">
        <v>1</v>
      </c>
      <c r="Q27" s="30">
        <v>0.51241982203986769</v>
      </c>
      <c r="R27" s="30">
        <v>22.640757417009514</v>
      </c>
      <c r="S27" s="30">
        <v>15.848530191906658</v>
      </c>
      <c r="T27" s="30">
        <v>6.7922272251028559</v>
      </c>
      <c r="U27" s="30">
        <v>0</v>
      </c>
      <c r="V27" s="32">
        <v>108.24910343334419</v>
      </c>
      <c r="W27" s="32">
        <v>46.678187185718947</v>
      </c>
      <c r="X27" s="32">
        <v>154.92729061906314</v>
      </c>
      <c r="Y27" s="32">
        <v>0</v>
      </c>
      <c r="Z27" s="32">
        <v>154.92729061906314</v>
      </c>
      <c r="AA27" s="32">
        <v>721.9397666456149</v>
      </c>
      <c r="AB27" s="28">
        <v>0</v>
      </c>
      <c r="AC27" s="28">
        <v>0</v>
      </c>
      <c r="AD27" s="28">
        <v>0</v>
      </c>
      <c r="AE27" s="28">
        <v>7.6979530100542624</v>
      </c>
      <c r="AF27" s="28">
        <v>0.90292635892438178</v>
      </c>
      <c r="AG27" s="28">
        <v>4.7513635185981169</v>
      </c>
      <c r="AH27" s="28">
        <v>0</v>
      </c>
      <c r="AI27" s="32">
        <v>62.736398793296672</v>
      </c>
      <c r="AJ27" s="30">
        <v>0.66845975983236172</v>
      </c>
      <c r="AK27" s="32">
        <v>3.8</v>
      </c>
      <c r="AL27" s="32">
        <v>39.40755298692649</v>
      </c>
      <c r="AM27" s="32">
        <v>2</v>
      </c>
      <c r="AN27" s="32">
        <v>0</v>
      </c>
      <c r="AO27" s="32">
        <v>29.783338831645818</v>
      </c>
      <c r="AP27" s="32">
        <v>32.62468837378573</v>
      </c>
      <c r="AQ27" s="32">
        <v>0</v>
      </c>
      <c r="AR27" s="30">
        <v>0</v>
      </c>
      <c r="AS27" s="30">
        <v>18.36</v>
      </c>
      <c r="AT27" s="30">
        <v>0</v>
      </c>
      <c r="AU27" s="30">
        <v>1.4076000000000002</v>
      </c>
      <c r="AV27" s="30">
        <v>0</v>
      </c>
      <c r="AW27" s="30">
        <v>0</v>
      </c>
      <c r="AX27" s="30">
        <v>0.13120700253758175</v>
      </c>
      <c r="AY27" s="30">
        <v>5.6253759834298025</v>
      </c>
      <c r="AZ27" s="30">
        <v>0</v>
      </c>
      <c r="BA27" s="30">
        <v>3.1702691737560684</v>
      </c>
      <c r="BB27" s="30">
        <v>8.0072599497825223</v>
      </c>
      <c r="BC27" s="30">
        <v>22.665886838078652</v>
      </c>
      <c r="BD27" s="30">
        <v>0.28929894506376785</v>
      </c>
      <c r="BE27" s="30">
        <v>1.8279678790132809</v>
      </c>
      <c r="BF27" s="30">
        <v>0.5667863927547111</v>
      </c>
      <c r="BG27" s="30">
        <v>2.3947542717679919</v>
      </c>
      <c r="BH27" s="30">
        <v>0</v>
      </c>
      <c r="BI27" s="30">
        <v>2.3947542717679915</v>
      </c>
    </row>
    <row r="28" spans="1:61" ht="15.75" customHeight="1" x14ac:dyDescent="0.2">
      <c r="A28" s="3" t="s">
        <v>827</v>
      </c>
      <c r="B28" s="3" t="s">
        <v>103</v>
      </c>
      <c r="C28" s="3" t="s">
        <v>826</v>
      </c>
      <c r="D28" s="28" t="s">
        <v>692</v>
      </c>
      <c r="E28" s="28" t="s">
        <v>828</v>
      </c>
      <c r="F28" s="32">
        <v>2000</v>
      </c>
      <c r="G28" s="32">
        <v>212</v>
      </c>
      <c r="H28" s="161">
        <v>27</v>
      </c>
      <c r="I28" s="28">
        <v>29.95</v>
      </c>
      <c r="J28" s="28">
        <v>21.95</v>
      </c>
      <c r="K28" s="28">
        <v>21.258431157093227</v>
      </c>
      <c r="L28" s="28">
        <v>13.984575835475574</v>
      </c>
      <c r="M28" s="30">
        <v>0.17267424338771045</v>
      </c>
      <c r="N28" s="30">
        <v>0</v>
      </c>
      <c r="O28" s="30">
        <v>1.3540502807505781</v>
      </c>
      <c r="P28" s="30">
        <v>1</v>
      </c>
      <c r="Q28" s="30">
        <v>0.55622170127462289</v>
      </c>
      <c r="R28" s="30">
        <v>21.772742274693837</v>
      </c>
      <c r="S28" s="30">
        <v>15.240919592285685</v>
      </c>
      <c r="T28" s="30">
        <v>6.5318226824081513</v>
      </c>
      <c r="U28" s="30">
        <v>0</v>
      </c>
      <c r="V28" s="32">
        <v>123.49002302562988</v>
      </c>
      <c r="W28" s="32">
        <v>53.210009868127102</v>
      </c>
      <c r="X28" s="32">
        <v>176.70003289375697</v>
      </c>
      <c r="Y28" s="32">
        <v>0</v>
      </c>
      <c r="Z28" s="32">
        <v>176.70003289375697</v>
      </c>
      <c r="AA28" s="32">
        <v>749.79938203023028</v>
      </c>
      <c r="AB28" s="28">
        <v>0</v>
      </c>
      <c r="AC28" s="28">
        <v>0</v>
      </c>
      <c r="AD28" s="28">
        <v>0</v>
      </c>
      <c r="AE28" s="28">
        <v>6.7288310542233889</v>
      </c>
      <c r="AF28" s="28">
        <v>0.67103721537048466</v>
      </c>
      <c r="AG28" s="28">
        <v>4.1510587562906007</v>
      </c>
      <c r="AH28" s="28">
        <v>0</v>
      </c>
      <c r="AI28" s="32">
        <v>61.243100463651828</v>
      </c>
      <c r="AJ28" s="30">
        <v>0.62830242873996922</v>
      </c>
      <c r="AK28" s="32">
        <v>3.8</v>
      </c>
      <c r="AL28" s="32">
        <v>39.40755298692649</v>
      </c>
      <c r="AM28" s="32">
        <v>2</v>
      </c>
      <c r="AN28" s="32">
        <v>0</v>
      </c>
      <c r="AO28" s="32">
        <v>30.454376047016304</v>
      </c>
      <c r="AP28" s="32">
        <v>36.775747130076333</v>
      </c>
      <c r="AQ28" s="32">
        <v>0</v>
      </c>
      <c r="AR28" s="30">
        <v>0</v>
      </c>
      <c r="AS28" s="30">
        <v>18.36</v>
      </c>
      <c r="AT28" s="30">
        <v>0</v>
      </c>
      <c r="AU28" s="30">
        <v>1.4076000000000002</v>
      </c>
      <c r="AV28" s="30">
        <v>0</v>
      </c>
      <c r="AW28" s="30">
        <v>0</v>
      </c>
      <c r="AX28" s="30">
        <v>0.12490038264638206</v>
      </c>
      <c r="AY28" s="30">
        <v>5.7502763660761849</v>
      </c>
      <c r="AZ28" s="30">
        <v>0</v>
      </c>
      <c r="BA28" s="30">
        <v>3.1702691737560684</v>
      </c>
      <c r="BB28" s="30">
        <v>7.5582813221867919</v>
      </c>
      <c r="BC28" s="30">
        <v>22.488439709477273</v>
      </c>
      <c r="BD28" s="30">
        <v>0.3023475490069355</v>
      </c>
      <c r="BE28" s="30">
        <v>2.06107810758669</v>
      </c>
      <c r="BF28" s="30">
        <v>0.63602371318823747</v>
      </c>
      <c r="BG28" s="30">
        <v>2.6971018207749275</v>
      </c>
      <c r="BH28" s="30">
        <v>0</v>
      </c>
      <c r="BI28" s="30">
        <v>2.6971018207749271</v>
      </c>
    </row>
    <row r="29" spans="1:61" ht="15.75" customHeight="1" x14ac:dyDescent="0.2">
      <c r="A29" s="3" t="s">
        <v>827</v>
      </c>
      <c r="B29" s="3" t="s">
        <v>103</v>
      </c>
      <c r="C29" s="3" t="s">
        <v>826</v>
      </c>
      <c r="D29" s="28" t="s">
        <v>692</v>
      </c>
      <c r="E29" s="28" t="s">
        <v>828</v>
      </c>
      <c r="F29" s="32">
        <v>2000</v>
      </c>
      <c r="G29" s="32">
        <v>213</v>
      </c>
      <c r="H29" s="161">
        <v>28</v>
      </c>
      <c r="I29" s="28">
        <v>30.9</v>
      </c>
      <c r="J29" s="28">
        <v>22.9</v>
      </c>
      <c r="K29" s="28">
        <v>22.139200387862459</v>
      </c>
      <c r="L29" s="28">
        <v>14.573264781490998</v>
      </c>
      <c r="M29" s="30">
        <v>0.19493418712685048</v>
      </c>
      <c r="N29" s="30">
        <v>0</v>
      </c>
      <c r="O29" s="30">
        <v>1.5267245241382885</v>
      </c>
      <c r="P29" s="30">
        <v>1</v>
      </c>
      <c r="Q29" s="30">
        <v>0.59989757993342741</v>
      </c>
      <c r="R29" s="30">
        <v>23.885522042629344</v>
      </c>
      <c r="S29" s="30">
        <v>16.719865429840539</v>
      </c>
      <c r="T29" s="30">
        <v>7.1656566127888048</v>
      </c>
      <c r="U29" s="30">
        <v>0</v>
      </c>
      <c r="V29" s="32">
        <v>140.20988845547043</v>
      </c>
      <c r="W29" s="32">
        <v>60.37566648091591</v>
      </c>
      <c r="X29" s="32">
        <v>200.5855549363863</v>
      </c>
      <c r="Y29" s="32">
        <v>0</v>
      </c>
      <c r="Z29" s="32">
        <v>200.5855549363863</v>
      </c>
      <c r="AA29" s="32">
        <v>778.86476664561485</v>
      </c>
      <c r="AB29" s="28">
        <v>0</v>
      </c>
      <c r="AC29" s="28">
        <v>0</v>
      </c>
      <c r="AD29" s="28">
        <v>0</v>
      </c>
      <c r="AE29" s="28">
        <v>7.6966006054596772</v>
      </c>
      <c r="AF29" s="28">
        <v>0.65532386343246907</v>
      </c>
      <c r="AG29" s="28">
        <v>6.1470139114239108</v>
      </c>
      <c r="AH29" s="28">
        <v>0</v>
      </c>
      <c r="AI29" s="32">
        <v>57.90121385637768</v>
      </c>
      <c r="AJ29" s="30">
        <v>0.57185017452974851</v>
      </c>
      <c r="AK29" s="32">
        <v>3.8</v>
      </c>
      <c r="AL29" s="32">
        <v>39.40755298692649</v>
      </c>
      <c r="AM29" s="32">
        <v>2</v>
      </c>
      <c r="AN29" s="32">
        <v>0</v>
      </c>
      <c r="AO29" s="32">
        <v>31.109699910448771</v>
      </c>
      <c r="AP29" s="32">
        <v>42.922761041500245</v>
      </c>
      <c r="AQ29" s="32">
        <v>0</v>
      </c>
      <c r="AR29" s="30">
        <v>0</v>
      </c>
      <c r="AS29" s="30">
        <v>18.36</v>
      </c>
      <c r="AT29" s="30">
        <v>0</v>
      </c>
      <c r="AU29" s="30">
        <v>1.4076000000000002</v>
      </c>
      <c r="AV29" s="30">
        <v>0</v>
      </c>
      <c r="AW29" s="30">
        <v>0</v>
      </c>
      <c r="AX29" s="30">
        <v>0.12027909069078929</v>
      </c>
      <c r="AY29" s="30">
        <v>5.870555456766974</v>
      </c>
      <c r="AZ29" s="30">
        <v>0</v>
      </c>
      <c r="BA29" s="30">
        <v>3.1702691737560684</v>
      </c>
      <c r="BB29" s="30">
        <v>6.9397025735530242</v>
      </c>
      <c r="BC29" s="30">
        <v>22.265643381332445</v>
      </c>
      <c r="BD29" s="30">
        <v>0.34307546422628071</v>
      </c>
      <c r="BE29" s="30">
        <v>2.3242392602079383</v>
      </c>
      <c r="BF29" s="30">
        <v>0.71593802479327007</v>
      </c>
      <c r="BG29" s="30">
        <v>3.0401772850012083</v>
      </c>
      <c r="BH29" s="30">
        <v>0</v>
      </c>
      <c r="BI29" s="30">
        <v>3.0401772850012079</v>
      </c>
    </row>
    <row r="30" spans="1:61" ht="15.75" customHeight="1" x14ac:dyDescent="0.2">
      <c r="A30" s="3" t="s">
        <v>827</v>
      </c>
      <c r="B30" s="3" t="s">
        <v>103</v>
      </c>
      <c r="C30" s="3" t="s">
        <v>826</v>
      </c>
      <c r="D30" s="28" t="s">
        <v>692</v>
      </c>
      <c r="E30" s="28" t="s">
        <v>828</v>
      </c>
      <c r="F30" s="32">
        <v>2000</v>
      </c>
      <c r="G30" s="32">
        <v>214</v>
      </c>
      <c r="H30" s="161">
        <v>29</v>
      </c>
      <c r="I30" s="28">
        <v>33</v>
      </c>
      <c r="J30" s="28">
        <v>25</v>
      </c>
      <c r="K30" s="28">
        <v>23.100738849400919</v>
      </c>
      <c r="L30" s="28">
        <v>15.215938303341899</v>
      </c>
      <c r="M30" s="30">
        <v>0.23072352314248329</v>
      </c>
      <c r="N30" s="30">
        <v>0</v>
      </c>
      <c r="O30" s="30">
        <v>1.7216587112651389</v>
      </c>
      <c r="P30" s="30">
        <v>1</v>
      </c>
      <c r="Q30" s="30">
        <v>0.64406075640685811</v>
      </c>
      <c r="R30" s="30">
        <v>23.91268776387383</v>
      </c>
      <c r="S30" s="30">
        <v>16.738881434711679</v>
      </c>
      <c r="T30" s="30">
        <v>7.1738063291621508</v>
      </c>
      <c r="U30" s="30">
        <v>0</v>
      </c>
      <c r="V30" s="32">
        <v>156.94876989018212</v>
      </c>
      <c r="W30" s="32">
        <v>67.549472810078058</v>
      </c>
      <c r="X30" s="32">
        <v>224.49824270026014</v>
      </c>
      <c r="Y30" s="32">
        <v>0</v>
      </c>
      <c r="Z30" s="32">
        <v>224.49824270026014</v>
      </c>
      <c r="AA30" s="32">
        <v>810.59553587638413</v>
      </c>
      <c r="AB30" s="28">
        <v>0</v>
      </c>
      <c r="AC30" s="28">
        <v>0</v>
      </c>
      <c r="AD30" s="28">
        <v>0</v>
      </c>
      <c r="AE30" s="28">
        <v>8.4510718711184403</v>
      </c>
      <c r="AF30" s="28">
        <v>0.61306565296616122</v>
      </c>
      <c r="AG30" s="28">
        <v>8.322414451309216</v>
      </c>
      <c r="AH30" s="28">
        <v>0</v>
      </c>
      <c r="AI30" s="32">
        <v>52.533726464325923</v>
      </c>
      <c r="AJ30" s="30">
        <v>0.49852925448228547</v>
      </c>
      <c r="AK30" s="32">
        <v>3.8</v>
      </c>
      <c r="AL30" s="32">
        <v>39.40755298692649</v>
      </c>
      <c r="AM30" s="32">
        <v>2</v>
      </c>
      <c r="AN30" s="32">
        <v>0</v>
      </c>
      <c r="AO30" s="32">
        <v>31.722765563414931</v>
      </c>
      <c r="AP30" s="32">
        <v>51.245175492809459</v>
      </c>
      <c r="AQ30" s="32">
        <v>0</v>
      </c>
      <c r="AR30" s="30">
        <v>0</v>
      </c>
      <c r="AS30" s="30">
        <v>18.36</v>
      </c>
      <c r="AT30" s="30">
        <v>0</v>
      </c>
      <c r="AU30" s="30">
        <v>1.4076000000000002</v>
      </c>
      <c r="AV30" s="30">
        <v>0</v>
      </c>
      <c r="AW30" s="30">
        <v>0</v>
      </c>
      <c r="AX30" s="30">
        <v>0.11912496223872535</v>
      </c>
      <c r="AY30" s="30">
        <v>5.9896804190056994</v>
      </c>
      <c r="AZ30" s="30">
        <v>0</v>
      </c>
      <c r="BA30" s="30">
        <v>3.1702691737560684</v>
      </c>
      <c r="BB30" s="30">
        <v>6.118656427273546</v>
      </c>
      <c r="BC30" s="30">
        <v>21.997162909099462</v>
      </c>
      <c r="BD30" s="30">
        <v>0.38760549032502856</v>
      </c>
      <c r="BE30" s="30">
        <v>2.6357160164502909</v>
      </c>
      <c r="BF30" s="30">
        <v>0.79206675887594624</v>
      </c>
      <c r="BG30" s="30">
        <v>3.4277827753262371</v>
      </c>
      <c r="BH30" s="30">
        <v>0</v>
      </c>
      <c r="BI30" s="30">
        <v>3.4277827753262367</v>
      </c>
    </row>
    <row r="31" spans="1:61" ht="15.75" customHeight="1" x14ac:dyDescent="0.2">
      <c r="A31" s="3" t="s">
        <v>827</v>
      </c>
      <c r="B31" s="3" t="s">
        <v>103</v>
      </c>
      <c r="C31" s="3" t="s">
        <v>826</v>
      </c>
      <c r="D31" s="28" t="s">
        <v>692</v>
      </c>
      <c r="E31" s="28" t="s">
        <v>828</v>
      </c>
      <c r="F31" s="32">
        <v>2000</v>
      </c>
      <c r="G31" s="32">
        <v>215</v>
      </c>
      <c r="H31" s="161">
        <v>30</v>
      </c>
      <c r="I31" s="28">
        <v>31.2</v>
      </c>
      <c r="J31" s="28">
        <v>23.2</v>
      </c>
      <c r="K31" s="28">
        <v>23.993046541708612</v>
      </c>
      <c r="L31" s="28">
        <v>15.812339331619533</v>
      </c>
      <c r="M31" s="30">
        <v>0.23147648701137818</v>
      </c>
      <c r="N31" s="30">
        <v>0</v>
      </c>
      <c r="O31" s="30">
        <v>1.9523822344076223</v>
      </c>
      <c r="P31" s="30">
        <v>1</v>
      </c>
      <c r="Q31" s="30">
        <v>0.69007636192728905</v>
      </c>
      <c r="R31" s="30">
        <v>22.838767274345557</v>
      </c>
      <c r="S31" s="30">
        <v>3.4258150911518332</v>
      </c>
      <c r="T31" s="30">
        <v>19.412952183193724</v>
      </c>
      <c r="U31" s="30">
        <v>0</v>
      </c>
      <c r="V31" s="32">
        <v>160.37458498133395</v>
      </c>
      <c r="W31" s="32">
        <v>86.962424993271782</v>
      </c>
      <c r="X31" s="32">
        <v>247.33700997460568</v>
      </c>
      <c r="Y31" s="32">
        <v>0</v>
      </c>
      <c r="Z31" s="32">
        <v>247.33700997460568</v>
      </c>
      <c r="AA31" s="32">
        <v>840.04168972253797</v>
      </c>
      <c r="AB31" s="28">
        <v>0</v>
      </c>
      <c r="AC31" s="28">
        <v>52.843693199604019</v>
      </c>
      <c r="AD31" s="28">
        <v>0</v>
      </c>
      <c r="AE31" s="28">
        <v>6.3079868775085464</v>
      </c>
      <c r="AF31" s="28">
        <v>0.98437523777571612</v>
      </c>
      <c r="AG31" s="28">
        <v>5.5321363709221245</v>
      </c>
      <c r="AH31" s="28">
        <v>0</v>
      </c>
      <c r="AI31" s="32">
        <v>101.76989594081576</v>
      </c>
      <c r="AJ31" s="30">
        <v>0.93191250263955439</v>
      </c>
      <c r="AK31" s="32">
        <v>3.8</v>
      </c>
      <c r="AL31" s="32">
        <v>92.251246186530508</v>
      </c>
      <c r="AM31" s="32">
        <v>3</v>
      </c>
      <c r="AN31" s="32">
        <v>0</v>
      </c>
      <c r="AO31" s="32">
        <v>32.707140801190647</v>
      </c>
      <c r="AP31" s="32">
        <v>56.777311863731583</v>
      </c>
      <c r="AQ31" s="32">
        <v>0</v>
      </c>
      <c r="AR31" s="30">
        <v>0</v>
      </c>
      <c r="AS31" s="30">
        <v>18.36</v>
      </c>
      <c r="AT31" s="30">
        <v>0</v>
      </c>
      <c r="AU31" s="30">
        <v>1.4076000000000002</v>
      </c>
      <c r="AV31" s="30">
        <v>0</v>
      </c>
      <c r="AW31" s="30">
        <v>0</v>
      </c>
      <c r="AX31" s="30">
        <v>8.9994808510600766E-2</v>
      </c>
      <c r="AY31" s="30">
        <v>6.0796752275163</v>
      </c>
      <c r="AZ31" s="30">
        <v>2.4821511559217289</v>
      </c>
      <c r="BA31" s="30">
        <v>5.6524203296777973</v>
      </c>
      <c r="BB31" s="30">
        <v>8.3064566433099163</v>
      </c>
      <c r="BC31" s="30">
        <v>19.005006659749061</v>
      </c>
      <c r="BD31" s="30">
        <v>0.6</v>
      </c>
      <c r="BE31" s="30">
        <v>2.9482092739156514</v>
      </c>
      <c r="BF31" s="30">
        <v>1.0795735014105856</v>
      </c>
      <c r="BG31" s="30">
        <v>4.0277827753262372</v>
      </c>
      <c r="BH31" s="30">
        <v>0</v>
      </c>
      <c r="BI31" s="30">
        <v>4.0277827753262363</v>
      </c>
    </row>
    <row r="32" spans="1:61" ht="15.75" customHeight="1" x14ac:dyDescent="0.2">
      <c r="A32" s="3" t="s">
        <v>827</v>
      </c>
      <c r="B32" s="3" t="s">
        <v>103</v>
      </c>
      <c r="C32" s="3" t="s">
        <v>826</v>
      </c>
      <c r="D32" s="28" t="s">
        <v>692</v>
      </c>
      <c r="E32" s="28" t="s">
        <v>828</v>
      </c>
      <c r="F32" s="32">
        <v>2000</v>
      </c>
      <c r="G32" s="32">
        <v>216</v>
      </c>
      <c r="H32" s="161">
        <v>31</v>
      </c>
      <c r="I32" s="28">
        <v>32</v>
      </c>
      <c r="J32" s="28">
        <v>24</v>
      </c>
      <c r="K32" s="28">
        <v>24.916123464785535</v>
      </c>
      <c r="L32" s="28">
        <v>16.429305912596398</v>
      </c>
      <c r="M32" s="30">
        <v>0.25770304848321179</v>
      </c>
      <c r="N32" s="30">
        <v>0</v>
      </c>
      <c r="O32" s="30">
        <v>2.1838587214190004</v>
      </c>
      <c r="P32" s="30">
        <v>1</v>
      </c>
      <c r="Q32" s="30">
        <v>0.73026498635621517</v>
      </c>
      <c r="R32" s="30">
        <v>20.12026090408644</v>
      </c>
      <c r="S32" s="30">
        <v>3.0180391356129657</v>
      </c>
      <c r="T32" s="30">
        <v>17.102221768473473</v>
      </c>
      <c r="U32" s="30">
        <v>0</v>
      </c>
      <c r="V32" s="32">
        <v>163.39262411694691</v>
      </c>
      <c r="W32" s="32">
        <v>104.06464676174525</v>
      </c>
      <c r="X32" s="32">
        <v>267.4572708786921</v>
      </c>
      <c r="Y32" s="32">
        <v>0</v>
      </c>
      <c r="Z32" s="32">
        <v>267.4572708786921</v>
      </c>
      <c r="AA32" s="32">
        <v>870.50322818407642</v>
      </c>
      <c r="AB32" s="28">
        <v>0</v>
      </c>
      <c r="AC32" s="28">
        <v>0</v>
      </c>
      <c r="AD32" s="28">
        <v>0</v>
      </c>
      <c r="AE32" s="28">
        <v>5.8182226610130492</v>
      </c>
      <c r="AF32" s="28">
        <v>0.62054921333844604</v>
      </c>
      <c r="AG32" s="28">
        <v>6.3467691257673549</v>
      </c>
      <c r="AH32" s="28">
        <v>0</v>
      </c>
      <c r="AI32" s="32">
        <v>97.48551520784963</v>
      </c>
      <c r="AJ32" s="30">
        <v>0.86144261645787812</v>
      </c>
      <c r="AK32" s="32">
        <v>3.8</v>
      </c>
      <c r="AL32" s="32">
        <v>92.251246186530508</v>
      </c>
      <c r="AM32" s="32">
        <v>3</v>
      </c>
      <c r="AN32" s="32">
        <v>0</v>
      </c>
      <c r="AO32" s="32">
        <v>33.327690014529097</v>
      </c>
      <c r="AP32" s="32">
        <v>63.124080989498935</v>
      </c>
      <c r="AQ32" s="32">
        <v>0</v>
      </c>
      <c r="AR32" s="30">
        <v>0</v>
      </c>
      <c r="AS32" s="30">
        <v>18.36</v>
      </c>
      <c r="AT32" s="30">
        <v>0</v>
      </c>
      <c r="AU32" s="30">
        <v>1.4076000000000002</v>
      </c>
      <c r="AV32" s="30">
        <v>0</v>
      </c>
      <c r="AW32" s="30">
        <v>0</v>
      </c>
      <c r="AX32" s="30">
        <v>0.10558576371027095</v>
      </c>
      <c r="AY32" s="30">
        <v>6.1852609912265706</v>
      </c>
      <c r="AZ32" s="30">
        <v>1.0312298341944484</v>
      </c>
      <c r="BA32" s="30">
        <v>6.6836501638722456</v>
      </c>
      <c r="BB32" s="30">
        <v>7.0113521987599334</v>
      </c>
      <c r="BC32" s="30">
        <v>17.52666823534074</v>
      </c>
      <c r="BD32" s="30">
        <v>0.55269442046206874</v>
      </c>
      <c r="BE32" s="30">
        <v>3.2961083893679874</v>
      </c>
      <c r="BF32" s="30">
        <v>1.2843688064203185</v>
      </c>
      <c r="BG32" s="30">
        <v>4.5804771957883057</v>
      </c>
      <c r="BH32" s="30">
        <v>0</v>
      </c>
      <c r="BI32" s="30">
        <v>4.5804771957883048</v>
      </c>
    </row>
    <row r="33" spans="1:61" ht="15.75" customHeight="1" x14ac:dyDescent="0.2">
      <c r="A33" s="3" t="s">
        <v>827</v>
      </c>
      <c r="B33" s="3" t="s">
        <v>103</v>
      </c>
      <c r="C33" s="3" t="s">
        <v>826</v>
      </c>
      <c r="D33" s="28" t="s">
        <v>692</v>
      </c>
      <c r="E33" s="28" t="s">
        <v>828</v>
      </c>
      <c r="F33" s="32">
        <v>2000</v>
      </c>
      <c r="G33" s="32">
        <v>217</v>
      </c>
      <c r="H33" s="161">
        <v>32</v>
      </c>
      <c r="I33" s="28">
        <v>30.8</v>
      </c>
      <c r="J33" s="28">
        <v>22.8</v>
      </c>
      <c r="K33" s="28">
        <v>25.793046541708613</v>
      </c>
      <c r="L33" s="28">
        <v>17.015424164524418</v>
      </c>
      <c r="M33" s="30">
        <v>0.26259818538018476</v>
      </c>
      <c r="N33" s="30">
        <v>0</v>
      </c>
      <c r="O33" s="30">
        <v>2.4415617699022123</v>
      </c>
      <c r="P33" s="30">
        <v>1</v>
      </c>
      <c r="Q33" s="30">
        <v>0.76890746446480163</v>
      </c>
      <c r="R33" s="30">
        <v>24.801879173776641</v>
      </c>
      <c r="S33" s="30">
        <v>3.7202818760664957</v>
      </c>
      <c r="T33" s="30">
        <v>21.081597297710147</v>
      </c>
      <c r="U33" s="30">
        <v>0</v>
      </c>
      <c r="V33" s="32">
        <v>167.11290599301341</v>
      </c>
      <c r="W33" s="32">
        <v>125.1462440594554</v>
      </c>
      <c r="X33" s="32">
        <v>292.25915005246873</v>
      </c>
      <c r="Y33" s="32">
        <v>0</v>
      </c>
      <c r="Z33" s="32">
        <v>292.25915005246873</v>
      </c>
      <c r="AA33" s="32">
        <v>899.44168972253794</v>
      </c>
      <c r="AB33" s="28">
        <v>0</v>
      </c>
      <c r="AC33" s="28">
        <v>0</v>
      </c>
      <c r="AD33" s="28">
        <v>0</v>
      </c>
      <c r="AE33" s="28">
        <v>5.1047111431048888</v>
      </c>
      <c r="AF33" s="28">
        <v>0.40350156408149879</v>
      </c>
      <c r="AG33" s="28">
        <v>2.8237801917185461</v>
      </c>
      <c r="AH33" s="28">
        <v>0</v>
      </c>
      <c r="AI33" s="32">
        <v>96.545559141329932</v>
      </c>
      <c r="AJ33" s="30">
        <v>0.82568793033164434</v>
      </c>
      <c r="AK33" s="32">
        <v>3.8</v>
      </c>
      <c r="AL33" s="32">
        <v>92.251246186530508</v>
      </c>
      <c r="AM33" s="32">
        <v>3</v>
      </c>
      <c r="AN33" s="32">
        <v>0</v>
      </c>
      <c r="AO33" s="32">
        <v>33.731191578610598</v>
      </c>
      <c r="AP33" s="32">
        <v>65.947861181217476</v>
      </c>
      <c r="AQ33" s="32">
        <v>0</v>
      </c>
      <c r="AR33" s="30">
        <v>0</v>
      </c>
      <c r="AS33" s="30">
        <v>18.36</v>
      </c>
      <c r="AT33" s="30">
        <v>0</v>
      </c>
      <c r="AU33" s="30">
        <v>1.4076000000000002</v>
      </c>
      <c r="AV33" s="30">
        <v>0</v>
      </c>
      <c r="AW33" s="30">
        <v>0</v>
      </c>
      <c r="AX33" s="30">
        <v>0.10495804807418566</v>
      </c>
      <c r="AY33" s="30">
        <v>6.290219039300756</v>
      </c>
      <c r="AZ33" s="30">
        <v>0.77063924417835072</v>
      </c>
      <c r="BA33" s="30">
        <v>7.4542894080505961</v>
      </c>
      <c r="BB33" s="30">
        <v>6.1134864294844347</v>
      </c>
      <c r="BC33" s="30">
        <v>16.260987124812065</v>
      </c>
      <c r="BD33" s="30">
        <v>0.6</v>
      </c>
      <c r="BE33" s="30">
        <v>3.650615939631237</v>
      </c>
      <c r="BF33" s="30">
        <v>1.529861256157069</v>
      </c>
      <c r="BG33" s="30">
        <v>5.1804771957883062</v>
      </c>
      <c r="BH33" s="30">
        <v>0</v>
      </c>
      <c r="BI33" s="30">
        <v>5.1804771957883045</v>
      </c>
    </row>
    <row r="34" spans="1:61" ht="15.75" customHeight="1" x14ac:dyDescent="0.2">
      <c r="A34" s="3" t="s">
        <v>827</v>
      </c>
      <c r="B34" s="3" t="s">
        <v>103</v>
      </c>
      <c r="C34" s="3" t="s">
        <v>826</v>
      </c>
      <c r="D34" s="28" t="s">
        <v>692</v>
      </c>
      <c r="E34" s="28" t="s">
        <v>828</v>
      </c>
      <c r="F34" s="32">
        <v>2000</v>
      </c>
      <c r="G34" s="32">
        <v>218</v>
      </c>
      <c r="H34" s="161">
        <v>33</v>
      </c>
      <c r="I34" s="28">
        <v>28.1</v>
      </c>
      <c r="J34" s="28">
        <v>20.100000000000001</v>
      </c>
      <c r="K34" s="28">
        <v>26.566123464785537</v>
      </c>
      <c r="L34" s="28">
        <v>17.532133676092542</v>
      </c>
      <c r="M34" s="30">
        <v>0.24632751584694279</v>
      </c>
      <c r="N34" s="30">
        <v>0</v>
      </c>
      <c r="O34" s="30">
        <v>2.7041599552823969</v>
      </c>
      <c r="P34" s="30">
        <v>1</v>
      </c>
      <c r="Q34" s="30">
        <v>0.8025946348293419</v>
      </c>
      <c r="R34" s="30">
        <v>15.640964243554215</v>
      </c>
      <c r="S34" s="30">
        <v>2.3461446365331322</v>
      </c>
      <c r="T34" s="30">
        <v>13.294819607021083</v>
      </c>
      <c r="U34" s="30">
        <v>0</v>
      </c>
      <c r="V34" s="32">
        <v>169.45905062954654</v>
      </c>
      <c r="W34" s="32">
        <v>138.44106366647648</v>
      </c>
      <c r="X34" s="32">
        <v>307.90011429602293</v>
      </c>
      <c r="Y34" s="32">
        <v>0</v>
      </c>
      <c r="Z34" s="32">
        <v>307.90011429602293</v>
      </c>
      <c r="AA34" s="32">
        <v>924.95322818407635</v>
      </c>
      <c r="AB34" s="28">
        <v>10.199999999999999</v>
      </c>
      <c r="AC34" s="28">
        <v>0</v>
      </c>
      <c r="AD34" s="28">
        <v>0</v>
      </c>
      <c r="AE34" s="28">
        <v>2.9295424183518324</v>
      </c>
      <c r="AF34" s="28">
        <v>1.5</v>
      </c>
      <c r="AG34" s="28">
        <v>1.3112668106573446</v>
      </c>
      <c r="AH34" s="28">
        <v>0</v>
      </c>
      <c r="AI34" s="32">
        <v>106.89407812726594</v>
      </c>
      <c r="AJ34" s="30">
        <v>0.88897699298246835</v>
      </c>
      <c r="AK34" s="32">
        <v>14</v>
      </c>
      <c r="AL34" s="32">
        <v>92.251246186530508</v>
      </c>
      <c r="AM34" s="32">
        <v>3</v>
      </c>
      <c r="AN34" s="32">
        <v>0</v>
      </c>
      <c r="AO34" s="32">
        <v>35.231191578610598</v>
      </c>
      <c r="AP34" s="32">
        <v>67.25912799187482</v>
      </c>
      <c r="AQ34" s="32">
        <v>0</v>
      </c>
      <c r="AR34" s="30">
        <v>0</v>
      </c>
      <c r="AS34" s="30">
        <v>18.36</v>
      </c>
      <c r="AT34" s="30">
        <v>0</v>
      </c>
      <c r="AU34" s="30">
        <v>1.4076000000000002</v>
      </c>
      <c r="AV34" s="30">
        <v>0</v>
      </c>
      <c r="AW34" s="30">
        <v>0</v>
      </c>
      <c r="AX34" s="30">
        <v>9.6322703635046719E-2</v>
      </c>
      <c r="AY34" s="30">
        <v>6.3865417429358029</v>
      </c>
      <c r="AZ34" s="30">
        <v>0.56055365074025953</v>
      </c>
      <c r="BA34" s="30">
        <v>8.0148430587908557</v>
      </c>
      <c r="BB34" s="30">
        <v>5.8145145233241786</v>
      </c>
      <c r="BC34" s="30">
        <v>15.323289020925394</v>
      </c>
      <c r="BD34" s="30">
        <v>0.47346723422779624</v>
      </c>
      <c r="BE34" s="30">
        <v>3.9831580860246096</v>
      </c>
      <c r="BF34" s="30">
        <v>1.6707863439914925</v>
      </c>
      <c r="BG34" s="30">
        <v>5.6539444300161019</v>
      </c>
      <c r="BH34" s="30">
        <v>0</v>
      </c>
      <c r="BI34" s="30">
        <v>5.653944430016101</v>
      </c>
    </row>
    <row r="35" spans="1:61" ht="15.75" customHeight="1" x14ac:dyDescent="0.2">
      <c r="A35" s="3" t="s">
        <v>827</v>
      </c>
      <c r="B35" s="3" t="s">
        <v>103</v>
      </c>
      <c r="C35" s="3" t="s">
        <v>826</v>
      </c>
      <c r="D35" s="28" t="s">
        <v>692</v>
      </c>
      <c r="E35" s="28" t="s">
        <v>828</v>
      </c>
      <c r="F35" s="32">
        <v>2000</v>
      </c>
      <c r="G35" s="32">
        <v>219</v>
      </c>
      <c r="H35" s="161">
        <v>34</v>
      </c>
      <c r="I35" s="28">
        <v>28.4</v>
      </c>
      <c r="J35" s="28">
        <v>20.399999999999999</v>
      </c>
      <c r="K35" s="28">
        <v>27.350738849400923</v>
      </c>
      <c r="L35" s="28">
        <v>18.056555269922875</v>
      </c>
      <c r="M35" s="30">
        <v>0.26462401169824146</v>
      </c>
      <c r="N35" s="30">
        <v>0</v>
      </c>
      <c r="O35" s="30">
        <v>2.9504874711293398</v>
      </c>
      <c r="P35" s="30">
        <v>1</v>
      </c>
      <c r="Q35" s="30">
        <v>0.82971682333829389</v>
      </c>
      <c r="R35" s="30">
        <v>23.278535195579174</v>
      </c>
      <c r="S35" s="30">
        <v>3.4917802793368762</v>
      </c>
      <c r="T35" s="30">
        <v>19.786754916242298</v>
      </c>
      <c r="U35" s="30">
        <v>0</v>
      </c>
      <c r="V35" s="32">
        <v>172.9508309088834</v>
      </c>
      <c r="W35" s="32">
        <v>158.22781858271878</v>
      </c>
      <c r="X35" s="32">
        <v>331.17864949160213</v>
      </c>
      <c r="Y35" s="32">
        <v>0</v>
      </c>
      <c r="Z35" s="32">
        <v>331.17864949160213</v>
      </c>
      <c r="AA35" s="32">
        <v>950.84553587638402</v>
      </c>
      <c r="AB35" s="28">
        <v>0</v>
      </c>
      <c r="AC35" s="28">
        <v>0</v>
      </c>
      <c r="AD35" s="28">
        <v>0</v>
      </c>
      <c r="AE35" s="28">
        <v>4.2444870277742659</v>
      </c>
      <c r="AF35" s="28">
        <v>1.5</v>
      </c>
      <c r="AG35" s="28">
        <v>2.944499546028843</v>
      </c>
      <c r="AH35" s="28">
        <v>0</v>
      </c>
      <c r="AI35" s="32">
        <v>105.52784185815011</v>
      </c>
      <c r="AJ35" s="30">
        <v>0.85371661226751627</v>
      </c>
      <c r="AK35" s="32">
        <v>14</v>
      </c>
      <c r="AL35" s="32">
        <v>92.251246186530508</v>
      </c>
      <c r="AM35" s="32">
        <v>3</v>
      </c>
      <c r="AN35" s="32">
        <v>0</v>
      </c>
      <c r="AO35" s="32">
        <v>36.731191578610598</v>
      </c>
      <c r="AP35" s="32">
        <v>70.203627537903657</v>
      </c>
      <c r="AQ35" s="32">
        <v>0</v>
      </c>
      <c r="AR35" s="30">
        <v>0</v>
      </c>
      <c r="AS35" s="30">
        <v>18.36</v>
      </c>
      <c r="AT35" s="30">
        <v>0</v>
      </c>
      <c r="AU35" s="30">
        <v>1.4076000000000002</v>
      </c>
      <c r="AV35" s="30">
        <v>0</v>
      </c>
      <c r="AW35" s="30">
        <v>0</v>
      </c>
      <c r="AX35" s="30">
        <v>0.10242677564553954</v>
      </c>
      <c r="AY35" s="30">
        <v>6.4889685185813422</v>
      </c>
      <c r="AZ35" s="30">
        <v>0.43181858080241908</v>
      </c>
      <c r="BA35" s="30">
        <v>8.446661639593275</v>
      </c>
      <c r="BB35" s="30">
        <v>5.2606698539081069</v>
      </c>
      <c r="BC35" s="30">
        <v>14.420486763495477</v>
      </c>
      <c r="BD35" s="30">
        <v>0.57341055089012105</v>
      </c>
      <c r="BE35" s="30">
        <v>4.3404005018172356</v>
      </c>
      <c r="BF35" s="30">
        <v>1.8869544790889876</v>
      </c>
      <c r="BG35" s="30">
        <v>6.227354980906223</v>
      </c>
      <c r="BH35" s="30">
        <v>0</v>
      </c>
      <c r="BI35" s="30">
        <v>6.2273549809062221</v>
      </c>
    </row>
    <row r="36" spans="1:61" ht="15.75" customHeight="1" x14ac:dyDescent="0.2">
      <c r="A36" s="3" t="s">
        <v>827</v>
      </c>
      <c r="B36" s="3" t="s">
        <v>103</v>
      </c>
      <c r="C36" s="3" t="s">
        <v>826</v>
      </c>
      <c r="D36" s="28" t="s">
        <v>692</v>
      </c>
      <c r="E36" s="28" t="s">
        <v>828</v>
      </c>
      <c r="F36" s="32">
        <v>2000</v>
      </c>
      <c r="G36" s="32">
        <v>220</v>
      </c>
      <c r="H36" s="161">
        <v>35</v>
      </c>
      <c r="I36" s="28">
        <v>28.8</v>
      </c>
      <c r="J36" s="28">
        <v>20.8</v>
      </c>
      <c r="K36" s="28">
        <v>28.150738849400923</v>
      </c>
      <c r="L36" s="28">
        <v>18.591259640102823</v>
      </c>
      <c r="M36" s="30">
        <v>0.28539176635546637</v>
      </c>
      <c r="N36" s="30">
        <v>0</v>
      </c>
      <c r="O36" s="30">
        <v>3.2151114828275813</v>
      </c>
      <c r="P36" s="30">
        <v>1</v>
      </c>
      <c r="Q36" s="30">
        <v>0.85471629902729118</v>
      </c>
      <c r="R36" s="30">
        <v>9.0463173089048503</v>
      </c>
      <c r="S36" s="30">
        <v>1.3569475963357276</v>
      </c>
      <c r="T36" s="30">
        <v>7.6893697125691229</v>
      </c>
      <c r="U36" s="30">
        <v>0</v>
      </c>
      <c r="V36" s="32">
        <v>174.30777850521912</v>
      </c>
      <c r="W36" s="32">
        <v>165.9171882952879</v>
      </c>
      <c r="X36" s="32">
        <v>340.22496680050699</v>
      </c>
      <c r="Y36" s="32">
        <v>0</v>
      </c>
      <c r="Z36" s="32">
        <v>340.22496680050699</v>
      </c>
      <c r="AA36" s="32">
        <v>977.245535876384</v>
      </c>
      <c r="AB36" s="28">
        <v>1.6</v>
      </c>
      <c r="AC36" s="28">
        <v>0</v>
      </c>
      <c r="AD36" s="28">
        <v>0</v>
      </c>
      <c r="AE36" s="28">
        <v>1.6038923582335463</v>
      </c>
      <c r="AF36" s="28">
        <v>1.5</v>
      </c>
      <c r="AG36" s="28">
        <v>0.99085633249224203</v>
      </c>
      <c r="AH36" s="28">
        <v>0</v>
      </c>
      <c r="AI36" s="32">
        <v>107.74059893434855</v>
      </c>
      <c r="AJ36" s="30">
        <v>0.8480712446675861</v>
      </c>
      <c r="AK36" s="32">
        <v>15.6</v>
      </c>
      <c r="AL36" s="32">
        <v>92.251246186530508</v>
      </c>
      <c r="AM36" s="32">
        <v>3</v>
      </c>
      <c r="AN36" s="32">
        <v>0</v>
      </c>
      <c r="AO36" s="32">
        <v>38.231191578610598</v>
      </c>
      <c r="AP36" s="32">
        <v>71.194483870395899</v>
      </c>
      <c r="AQ36" s="32">
        <v>0</v>
      </c>
      <c r="AR36" s="30">
        <v>0</v>
      </c>
      <c r="AS36" s="30">
        <v>18.36</v>
      </c>
      <c r="AT36" s="30">
        <v>0</v>
      </c>
      <c r="AU36" s="30">
        <v>1.4076000000000002</v>
      </c>
      <c r="AV36" s="30">
        <v>0</v>
      </c>
      <c r="AW36" s="30">
        <v>0</v>
      </c>
      <c r="AX36" s="30">
        <v>0.10890439130155465</v>
      </c>
      <c r="AY36" s="30">
        <v>6.5978729098828968</v>
      </c>
      <c r="AZ36" s="30">
        <v>0.38257685592496049</v>
      </c>
      <c r="BA36" s="30">
        <v>8.8292384955182364</v>
      </c>
      <c r="BB36" s="30">
        <v>4.9116710304210294</v>
      </c>
      <c r="BC36" s="30">
        <v>13.680028184070267</v>
      </c>
      <c r="BD36" s="30">
        <v>0.46678620353311234</v>
      </c>
      <c r="BE36" s="30">
        <v>4.7256793863971156</v>
      </c>
      <c r="BF36" s="30">
        <v>1.9684617980422203</v>
      </c>
      <c r="BG36" s="30">
        <v>6.6941411844393359</v>
      </c>
      <c r="BH36" s="30">
        <v>0</v>
      </c>
      <c r="BI36" s="30">
        <v>6.6941411844393341</v>
      </c>
    </row>
    <row r="37" spans="1:61" ht="15.75" customHeight="1" x14ac:dyDescent="0.2">
      <c r="A37" s="3" t="s">
        <v>827</v>
      </c>
      <c r="B37" s="3" t="s">
        <v>103</v>
      </c>
      <c r="C37" s="3" t="s">
        <v>826</v>
      </c>
      <c r="D37" s="28" t="s">
        <v>692</v>
      </c>
      <c r="E37" s="28" t="s">
        <v>828</v>
      </c>
      <c r="F37" s="32">
        <v>2000</v>
      </c>
      <c r="G37" s="32">
        <v>221</v>
      </c>
      <c r="H37" s="161">
        <v>36</v>
      </c>
      <c r="I37" s="28">
        <v>25.6</v>
      </c>
      <c r="J37" s="28">
        <v>17.600000000000001</v>
      </c>
      <c r="K37" s="28">
        <v>28.827661926324001</v>
      </c>
      <c r="L37" s="28">
        <v>19.043701799485856</v>
      </c>
      <c r="M37" s="30">
        <v>0.25408474261810954</v>
      </c>
      <c r="N37" s="30">
        <v>0</v>
      </c>
      <c r="O37" s="30">
        <v>3.5005032491830477</v>
      </c>
      <c r="P37" s="30">
        <v>1</v>
      </c>
      <c r="Q37" s="30">
        <v>0.87758054182367529</v>
      </c>
      <c r="R37" s="30">
        <v>9.7306130477409098</v>
      </c>
      <c r="S37" s="30">
        <v>1.4595919571611364</v>
      </c>
      <c r="T37" s="30">
        <v>8.2710210905797741</v>
      </c>
      <c r="U37" s="30">
        <v>0</v>
      </c>
      <c r="V37" s="32">
        <v>175.76737046238026</v>
      </c>
      <c r="W37" s="32">
        <v>174.18820938586768</v>
      </c>
      <c r="X37" s="32">
        <v>349.95557984824791</v>
      </c>
      <c r="Y37" s="32">
        <v>0</v>
      </c>
      <c r="Z37" s="32">
        <v>349.95557984824791</v>
      </c>
      <c r="AA37" s="32">
        <v>999.5839974148455</v>
      </c>
      <c r="AB37" s="28">
        <v>14.2</v>
      </c>
      <c r="AC37" s="28">
        <v>0</v>
      </c>
      <c r="AD37" s="28">
        <v>0</v>
      </c>
      <c r="AE37" s="28">
        <v>1.5790633898384221</v>
      </c>
      <c r="AF37" s="28">
        <v>1.5</v>
      </c>
      <c r="AG37" s="28">
        <v>0.69117914252599189</v>
      </c>
      <c r="AH37" s="28">
        <v>0</v>
      </c>
      <c r="AI37" s="32">
        <v>122.37351830366045</v>
      </c>
      <c r="AJ37" s="30">
        <v>0.9417265168475204</v>
      </c>
      <c r="AK37" s="32">
        <v>29.799999999999997</v>
      </c>
      <c r="AL37" s="32">
        <v>92.251246186530508</v>
      </c>
      <c r="AM37" s="32">
        <v>3</v>
      </c>
      <c r="AN37" s="32">
        <v>0</v>
      </c>
      <c r="AO37" s="32">
        <v>39.731191578610598</v>
      </c>
      <c r="AP37" s="32">
        <v>71.885663012921896</v>
      </c>
      <c r="AQ37" s="32">
        <v>0</v>
      </c>
      <c r="AR37" s="30">
        <v>0</v>
      </c>
      <c r="AS37" s="30">
        <v>18.36</v>
      </c>
      <c r="AT37" s="30">
        <v>0</v>
      </c>
      <c r="AU37" s="30">
        <v>1.4076000000000002</v>
      </c>
      <c r="AV37" s="30">
        <v>0</v>
      </c>
      <c r="AW37" s="30">
        <v>0</v>
      </c>
      <c r="AX37" s="30">
        <v>3.2446479185056144E-2</v>
      </c>
      <c r="AY37" s="30">
        <v>6.630319389067953</v>
      </c>
      <c r="AZ37" s="30">
        <v>0.28712428853453364</v>
      </c>
      <c r="BA37" s="30">
        <v>9.1163627840527699</v>
      </c>
      <c r="BB37" s="30">
        <v>4.8822642153188847</v>
      </c>
      <c r="BC37" s="30">
        <v>12.994663236312672</v>
      </c>
      <c r="BD37" s="30">
        <v>0.43068722609459353</v>
      </c>
      <c r="BE37" s="30">
        <v>5.0686937889315633</v>
      </c>
      <c r="BF37" s="30">
        <v>2.0561346216023662</v>
      </c>
      <c r="BG37" s="30">
        <v>7.1248284105339295</v>
      </c>
      <c r="BH37" s="30">
        <v>0</v>
      </c>
      <c r="BI37" s="30">
        <v>7.1248284105339277</v>
      </c>
    </row>
    <row r="38" spans="1:61" ht="15.75" customHeight="1" x14ac:dyDescent="0.2">
      <c r="A38" s="3" t="s">
        <v>827</v>
      </c>
      <c r="B38" s="3" t="s">
        <v>103</v>
      </c>
      <c r="C38" s="3" t="s">
        <v>826</v>
      </c>
      <c r="D38" s="28" t="s">
        <v>692</v>
      </c>
      <c r="E38" s="28" t="s">
        <v>828</v>
      </c>
      <c r="F38" s="32">
        <v>2000</v>
      </c>
      <c r="G38" s="32">
        <v>222</v>
      </c>
      <c r="H38" s="161">
        <v>37</v>
      </c>
      <c r="I38" s="28">
        <v>27.1</v>
      </c>
      <c r="J38" s="28">
        <v>19.100000000000001</v>
      </c>
      <c r="K38" s="28">
        <v>29.562277310939386</v>
      </c>
      <c r="L38" s="28">
        <v>19.534704370179945</v>
      </c>
      <c r="M38" s="30">
        <v>0.28912432158128443</v>
      </c>
      <c r="N38" s="30">
        <v>0</v>
      </c>
      <c r="O38" s="30">
        <v>3.7545879918011571</v>
      </c>
      <c r="P38" s="30">
        <v>1</v>
      </c>
      <c r="Q38" s="30">
        <v>0.89489051891983284</v>
      </c>
      <c r="R38" s="30">
        <v>12.929378217353745</v>
      </c>
      <c r="S38" s="30">
        <v>1.9394067326030617</v>
      </c>
      <c r="T38" s="30">
        <v>10.989971484750683</v>
      </c>
      <c r="U38" s="30">
        <v>0</v>
      </c>
      <c r="V38" s="32">
        <v>177.70677719498332</v>
      </c>
      <c r="W38" s="32">
        <v>185.17818087061835</v>
      </c>
      <c r="X38" s="32">
        <v>362.88495806560167</v>
      </c>
      <c r="Y38" s="32">
        <v>0</v>
      </c>
      <c r="Z38" s="32">
        <v>362.88495806560167</v>
      </c>
      <c r="AA38" s="32">
        <v>1023.8263051071532</v>
      </c>
      <c r="AB38" s="28">
        <v>1.8</v>
      </c>
      <c r="AC38" s="28">
        <v>0</v>
      </c>
      <c r="AD38" s="28">
        <v>0</v>
      </c>
      <c r="AE38" s="28">
        <v>2.1273264204710745</v>
      </c>
      <c r="AF38" s="28">
        <v>1.5</v>
      </c>
      <c r="AG38" s="28">
        <v>1.959308046764956</v>
      </c>
      <c r="AH38" s="28">
        <v>0</v>
      </c>
      <c r="AI38" s="32">
        <v>123.61736000629763</v>
      </c>
      <c r="AJ38" s="30">
        <v>0.92877352782969502</v>
      </c>
      <c r="AK38" s="32">
        <v>31.599999999999998</v>
      </c>
      <c r="AL38" s="32">
        <v>92.251246186530508</v>
      </c>
      <c r="AM38" s="32">
        <v>3</v>
      </c>
      <c r="AN38" s="32">
        <v>0</v>
      </c>
      <c r="AO38" s="32">
        <v>41.231191578610598</v>
      </c>
      <c r="AP38" s="32">
        <v>73.844971059686856</v>
      </c>
      <c r="AQ38" s="32">
        <v>0</v>
      </c>
      <c r="AR38" s="30">
        <v>0</v>
      </c>
      <c r="AS38" s="30">
        <v>18.36</v>
      </c>
      <c r="AT38" s="30">
        <v>0</v>
      </c>
      <c r="AU38" s="30">
        <v>1.4076000000000002</v>
      </c>
      <c r="AV38" s="30">
        <v>0</v>
      </c>
      <c r="AW38" s="30">
        <v>0</v>
      </c>
      <c r="AX38" s="30">
        <v>3.1271085164453594E-2</v>
      </c>
      <c r="AY38" s="30">
        <v>6.6615904742324066</v>
      </c>
      <c r="AZ38" s="30">
        <v>0.23910246980675146</v>
      </c>
      <c r="BA38" s="30">
        <v>9.3554652538595207</v>
      </c>
      <c r="BB38" s="30">
        <v>4.5516360481597644</v>
      </c>
      <c r="BC38" s="30">
        <v>12.280020423603922</v>
      </c>
      <c r="BD38" s="30">
        <v>0.50681153187309125</v>
      </c>
      <c r="BE38" s="30">
        <v>5.4590116230662975</v>
      </c>
      <c r="BF38" s="30">
        <v>2.1726283193407232</v>
      </c>
      <c r="BG38" s="30">
        <v>7.6316399424070207</v>
      </c>
      <c r="BH38" s="30">
        <v>0</v>
      </c>
      <c r="BI38" s="30">
        <v>7.6316399424070189</v>
      </c>
    </row>
    <row r="39" spans="1:61" ht="15.75" customHeight="1" x14ac:dyDescent="0.2">
      <c r="A39" s="3" t="s">
        <v>827</v>
      </c>
      <c r="B39" s="3" t="s">
        <v>103</v>
      </c>
      <c r="C39" s="3" t="s">
        <v>826</v>
      </c>
      <c r="D39" s="28" t="s">
        <v>692</v>
      </c>
      <c r="E39" s="28" t="s">
        <v>828</v>
      </c>
      <c r="F39" s="32">
        <v>2000</v>
      </c>
      <c r="G39" s="32">
        <v>223</v>
      </c>
      <c r="H39" s="161">
        <v>38</v>
      </c>
      <c r="I39" s="28">
        <v>28.9</v>
      </c>
      <c r="J39" s="28">
        <v>20.9</v>
      </c>
      <c r="K39" s="28">
        <v>30.366123464785542</v>
      </c>
      <c r="L39" s="28">
        <v>20.071979434447297</v>
      </c>
      <c r="M39" s="30">
        <v>0.33271214473128086</v>
      </c>
      <c r="N39" s="30">
        <v>0</v>
      </c>
      <c r="O39" s="30">
        <v>4.0437123133824411</v>
      </c>
      <c r="P39" s="30">
        <v>1</v>
      </c>
      <c r="Q39" s="30">
        <v>0.91163041132403344</v>
      </c>
      <c r="R39" s="30">
        <v>26.342472365619273</v>
      </c>
      <c r="S39" s="30">
        <v>3.9513708548428905</v>
      </c>
      <c r="T39" s="30">
        <v>22.39110151077638</v>
      </c>
      <c r="U39" s="30">
        <v>0</v>
      </c>
      <c r="V39" s="32">
        <v>181.6581480498262</v>
      </c>
      <c r="W39" s="32">
        <v>207.56928238139471</v>
      </c>
      <c r="X39" s="32">
        <v>389.22743043122091</v>
      </c>
      <c r="Y39" s="32">
        <v>0</v>
      </c>
      <c r="Z39" s="32">
        <v>389.22743043122091</v>
      </c>
      <c r="AA39" s="32">
        <v>1050.3532281840762</v>
      </c>
      <c r="AB39" s="28">
        <v>0</v>
      </c>
      <c r="AC39" s="28">
        <v>0</v>
      </c>
      <c r="AD39" s="28">
        <v>0</v>
      </c>
      <c r="AE39" s="28">
        <v>4.378686371583405</v>
      </c>
      <c r="AF39" s="28">
        <v>1.5</v>
      </c>
      <c r="AG39" s="28">
        <v>4.3720157076917081</v>
      </c>
      <c r="AH39" s="28">
        <v>0</v>
      </c>
      <c r="AI39" s="32">
        <v>121.00364946931569</v>
      </c>
      <c r="AJ39" s="30">
        <v>0.88617550613839469</v>
      </c>
      <c r="AK39" s="32">
        <v>31.599999999999998</v>
      </c>
      <c r="AL39" s="32">
        <v>92.251246186530508</v>
      </c>
      <c r="AM39" s="32">
        <v>3</v>
      </c>
      <c r="AN39" s="32">
        <v>0</v>
      </c>
      <c r="AO39" s="32">
        <v>42.731191578610598</v>
      </c>
      <c r="AP39" s="32">
        <v>78.216986767378557</v>
      </c>
      <c r="AQ39" s="32">
        <v>0</v>
      </c>
      <c r="AR39" s="30">
        <v>0</v>
      </c>
      <c r="AS39" s="30">
        <v>18.36</v>
      </c>
      <c r="AT39" s="30">
        <v>0</v>
      </c>
      <c r="AU39" s="30">
        <v>1.4076000000000002</v>
      </c>
      <c r="AV39" s="30">
        <v>0</v>
      </c>
      <c r="AW39" s="30">
        <v>0</v>
      </c>
      <c r="AX39" s="30">
        <v>3.4801163174816477E-2</v>
      </c>
      <c r="AY39" s="30">
        <v>6.6963916374072232</v>
      </c>
      <c r="AZ39" s="30">
        <v>0.22402385843737077</v>
      </c>
      <c r="BA39" s="30">
        <v>9.5794891122968906</v>
      </c>
      <c r="BB39" s="30">
        <v>4.1213621517405521</v>
      </c>
      <c r="BC39" s="30">
        <v>11.490797860162072</v>
      </c>
      <c r="BD39" s="30">
        <v>0.6</v>
      </c>
      <c r="BE39" s="30">
        <v>5.9081730184535264</v>
      </c>
      <c r="BF39" s="30">
        <v>2.323466923953494</v>
      </c>
      <c r="BG39" s="30">
        <v>8.2316399424070212</v>
      </c>
      <c r="BH39" s="30">
        <v>0</v>
      </c>
      <c r="BI39" s="30">
        <v>8.2316399424070195</v>
      </c>
    </row>
    <row r="40" spans="1:61" ht="15.75" customHeight="1" x14ac:dyDescent="0.2">
      <c r="A40" s="3" t="s">
        <v>827</v>
      </c>
      <c r="B40" s="3" t="s">
        <v>103</v>
      </c>
      <c r="C40" s="3" t="s">
        <v>826</v>
      </c>
      <c r="D40" s="28" t="s">
        <v>692</v>
      </c>
      <c r="E40" s="28" t="s">
        <v>828</v>
      </c>
      <c r="F40" s="32">
        <v>2000</v>
      </c>
      <c r="G40" s="32">
        <v>224</v>
      </c>
      <c r="H40" s="161">
        <v>39</v>
      </c>
      <c r="I40" s="28">
        <v>28.5</v>
      </c>
      <c r="J40" s="28">
        <v>20.5</v>
      </c>
      <c r="K40" s="28">
        <v>31.154585003247082</v>
      </c>
      <c r="L40" s="28">
        <v>20.598971722365036</v>
      </c>
      <c r="M40" s="30">
        <v>0.34333488939096379</v>
      </c>
      <c r="N40" s="30">
        <v>0</v>
      </c>
      <c r="O40" s="30">
        <v>4.3764244581137222</v>
      </c>
      <c r="P40" s="30">
        <v>1</v>
      </c>
      <c r="Q40" s="30">
        <v>0.92762212895557938</v>
      </c>
      <c r="R40" s="30">
        <v>26.492888002971348</v>
      </c>
      <c r="S40" s="30">
        <v>3.973933200445702</v>
      </c>
      <c r="T40" s="30">
        <v>22.518954802525645</v>
      </c>
      <c r="U40" s="30">
        <v>0</v>
      </c>
      <c r="V40" s="32">
        <v>185.63208125027191</v>
      </c>
      <c r="W40" s="32">
        <v>230.08823718392037</v>
      </c>
      <c r="X40" s="32">
        <v>415.72031843419228</v>
      </c>
      <c r="Y40" s="32">
        <v>0</v>
      </c>
      <c r="Z40" s="32">
        <v>415.72031843419228</v>
      </c>
      <c r="AA40" s="32">
        <v>1076.3724589533069</v>
      </c>
      <c r="AB40" s="28">
        <v>0</v>
      </c>
      <c r="AC40" s="28">
        <v>0</v>
      </c>
      <c r="AD40" s="28">
        <v>0</v>
      </c>
      <c r="AE40" s="28">
        <v>4.2798833395114171</v>
      </c>
      <c r="AF40" s="28">
        <v>1.5</v>
      </c>
      <c r="AG40" s="28">
        <v>3.7947385458324678</v>
      </c>
      <c r="AH40" s="28">
        <v>0</v>
      </c>
      <c r="AI40" s="32">
        <v>118.81472390813207</v>
      </c>
      <c r="AJ40" s="30">
        <v>0.84911073957308147</v>
      </c>
      <c r="AK40" s="32">
        <v>31.599999999999998</v>
      </c>
      <c r="AL40" s="32">
        <v>92.251246186530508</v>
      </c>
      <c r="AM40" s="32">
        <v>3</v>
      </c>
      <c r="AN40" s="32">
        <v>0</v>
      </c>
      <c r="AO40" s="32">
        <v>44.231191578610598</v>
      </c>
      <c r="AP40" s="32">
        <v>82.011725313211031</v>
      </c>
      <c r="AQ40" s="32">
        <v>0</v>
      </c>
      <c r="AR40" s="30">
        <v>0</v>
      </c>
      <c r="AS40" s="30">
        <v>18.36</v>
      </c>
      <c r="AT40" s="30">
        <v>0</v>
      </c>
      <c r="AU40" s="30">
        <v>1.4076000000000002</v>
      </c>
      <c r="AV40" s="30">
        <v>0</v>
      </c>
      <c r="AW40" s="30">
        <v>0</v>
      </c>
      <c r="AX40" s="30">
        <v>0.10197815379709921</v>
      </c>
      <c r="AY40" s="30">
        <v>6.7983697912043226</v>
      </c>
      <c r="AZ40" s="30">
        <v>0.12112070480880259</v>
      </c>
      <c r="BA40" s="30">
        <v>9.7006098171056934</v>
      </c>
      <c r="BB40" s="30">
        <v>3.8092318514308556</v>
      </c>
      <c r="BC40" s="30">
        <v>10.871655454733268</v>
      </c>
      <c r="BD40" s="30">
        <v>0.6</v>
      </c>
      <c r="BE40" s="30">
        <v>6.3716751191313277</v>
      </c>
      <c r="BF40" s="30">
        <v>2.4599648232756928</v>
      </c>
      <c r="BG40" s="30">
        <v>8.8316399424070209</v>
      </c>
      <c r="BH40" s="30">
        <v>0</v>
      </c>
      <c r="BI40" s="30">
        <v>8.8316399424070191</v>
      </c>
    </row>
    <row r="41" spans="1:61" ht="15.75" customHeight="1" x14ac:dyDescent="0.2">
      <c r="A41" s="3" t="s">
        <v>827</v>
      </c>
      <c r="B41" s="3" t="s">
        <v>103</v>
      </c>
      <c r="C41" s="3" t="s">
        <v>826</v>
      </c>
      <c r="D41" s="28" t="s">
        <v>692</v>
      </c>
      <c r="E41" s="28" t="s">
        <v>828</v>
      </c>
      <c r="F41" s="32">
        <v>2000</v>
      </c>
      <c r="G41" s="32">
        <v>225</v>
      </c>
      <c r="H41" s="161">
        <v>40</v>
      </c>
      <c r="I41" s="28">
        <v>28.099999999999998</v>
      </c>
      <c r="J41" s="28">
        <v>20.099999999999998</v>
      </c>
      <c r="K41" s="28">
        <v>31.927661926324006</v>
      </c>
      <c r="L41" s="28">
        <v>21.115681233933159</v>
      </c>
      <c r="M41" s="30">
        <v>0.3533644492133976</v>
      </c>
      <c r="N41" s="30">
        <v>0</v>
      </c>
      <c r="O41" s="30">
        <v>4.7197593475046862</v>
      </c>
      <c r="P41" s="30">
        <v>1</v>
      </c>
      <c r="Q41" s="30">
        <v>0.94109654954743449</v>
      </c>
      <c r="R41" s="30">
        <v>37.78690865742859</v>
      </c>
      <c r="S41" s="30">
        <v>5.6680362986142887</v>
      </c>
      <c r="T41" s="30">
        <v>32.118872358814301</v>
      </c>
      <c r="U41" s="30">
        <v>0</v>
      </c>
      <c r="V41" s="32">
        <v>191.30011754888619</v>
      </c>
      <c r="W41" s="32">
        <v>262.20710954273466</v>
      </c>
      <c r="X41" s="32">
        <v>453.50722709162085</v>
      </c>
      <c r="Y41" s="32">
        <v>0</v>
      </c>
      <c r="Z41" s="32">
        <v>453.50722709162085</v>
      </c>
      <c r="AA41" s="32">
        <v>1101.8839974148455</v>
      </c>
      <c r="AB41" s="28">
        <v>0</v>
      </c>
      <c r="AC41" s="28">
        <v>0</v>
      </c>
      <c r="AD41" s="28">
        <v>0</v>
      </c>
      <c r="AE41" s="28">
        <v>6.227766953029807</v>
      </c>
      <c r="AF41" s="28">
        <v>1.5</v>
      </c>
      <c r="AG41" s="28">
        <v>7.9671342412276722</v>
      </c>
      <c r="AH41" s="28">
        <v>0</v>
      </c>
      <c r="AI41" s="32">
        <v>112.47320884564184</v>
      </c>
      <c r="AJ41" s="30">
        <v>0.78518113668196909</v>
      </c>
      <c r="AK41" s="32">
        <v>31.599999999999998</v>
      </c>
      <c r="AL41" s="32">
        <v>92.251246186530508</v>
      </c>
      <c r="AM41" s="32">
        <v>3</v>
      </c>
      <c r="AN41" s="32">
        <v>0</v>
      </c>
      <c r="AO41" s="32">
        <v>45.731191578610598</v>
      </c>
      <c r="AP41" s="32">
        <v>89.978859554438699</v>
      </c>
      <c r="AQ41" s="32">
        <v>0</v>
      </c>
      <c r="AR41" s="30">
        <v>0</v>
      </c>
      <c r="AS41" s="30">
        <v>18.36</v>
      </c>
      <c r="AT41" s="30">
        <v>0</v>
      </c>
      <c r="AU41" s="30">
        <v>1.4076000000000002</v>
      </c>
      <c r="AV41" s="30">
        <v>0</v>
      </c>
      <c r="AW41" s="30">
        <v>0</v>
      </c>
      <c r="AX41" s="30">
        <v>0.1654923046441257</v>
      </c>
      <c r="AY41" s="30">
        <v>6.9638620958484481</v>
      </c>
      <c r="AZ41" s="30">
        <v>0</v>
      </c>
      <c r="BA41" s="30">
        <v>9.7006098171056934</v>
      </c>
      <c r="BB41" s="30">
        <v>3.5163778361350944</v>
      </c>
      <c r="BC41" s="30">
        <v>10.437147916889423</v>
      </c>
      <c r="BD41" s="30">
        <v>0.6</v>
      </c>
      <c r="BE41" s="30">
        <v>6.8487171255694141</v>
      </c>
      <c r="BF41" s="30">
        <v>2.5829228168376059</v>
      </c>
      <c r="BG41" s="30">
        <v>9.4316399424070205</v>
      </c>
      <c r="BH41" s="30">
        <v>0</v>
      </c>
      <c r="BI41" s="30">
        <v>9.4316399424070188</v>
      </c>
    </row>
    <row r="42" spans="1:61" ht="15.75" customHeight="1" x14ac:dyDescent="0.2">
      <c r="A42" s="3" t="s">
        <v>827</v>
      </c>
      <c r="B42" s="3" t="s">
        <v>103</v>
      </c>
      <c r="C42" s="3" t="s">
        <v>826</v>
      </c>
      <c r="D42" s="28" t="s">
        <v>692</v>
      </c>
      <c r="E42" s="28" t="s">
        <v>828</v>
      </c>
      <c r="F42" s="32">
        <v>2000</v>
      </c>
      <c r="G42" s="32">
        <v>226</v>
      </c>
      <c r="H42" s="161">
        <v>41</v>
      </c>
      <c r="I42" s="28">
        <v>28.900000000000002</v>
      </c>
      <c r="J42" s="28">
        <v>20.900000000000002</v>
      </c>
      <c r="K42" s="28">
        <v>32.731508080170158</v>
      </c>
      <c r="L42" s="28">
        <v>21.652956298200511</v>
      </c>
      <c r="M42" s="30">
        <v>0.38540514818289323</v>
      </c>
      <c r="N42" s="30">
        <v>0</v>
      </c>
      <c r="O42" s="30">
        <v>5.0731237967180842</v>
      </c>
      <c r="P42" s="30">
        <v>1</v>
      </c>
      <c r="Q42" s="30">
        <v>0.95235007762888302</v>
      </c>
      <c r="R42" s="30">
        <v>34.718874430038554</v>
      </c>
      <c r="S42" s="30">
        <v>5.2078311645057829</v>
      </c>
      <c r="T42" s="30">
        <v>29.51104326553277</v>
      </c>
      <c r="U42" s="30">
        <v>0</v>
      </c>
      <c r="V42" s="32">
        <v>196.50794871339198</v>
      </c>
      <c r="W42" s="32">
        <v>291.7181528082674</v>
      </c>
      <c r="X42" s="32">
        <v>488.22610152165942</v>
      </c>
      <c r="Y42" s="32">
        <v>0</v>
      </c>
      <c r="Z42" s="32">
        <v>488.22610152165942</v>
      </c>
      <c r="AA42" s="32">
        <v>1101.8839974148455</v>
      </c>
      <c r="AB42" s="28">
        <v>0</v>
      </c>
      <c r="AC42" s="28">
        <v>0</v>
      </c>
      <c r="AD42" s="28">
        <v>0</v>
      </c>
      <c r="AE42" s="28">
        <v>5.8146272429025014</v>
      </c>
      <c r="AF42" s="28">
        <v>1.5</v>
      </c>
      <c r="AG42" s="28">
        <v>7.1523216889059729</v>
      </c>
      <c r="AH42" s="28">
        <v>0</v>
      </c>
      <c r="AI42" s="32">
        <v>104.24946690975233</v>
      </c>
      <c r="AJ42" s="30">
        <v>0.72777077996437367</v>
      </c>
      <c r="AK42" s="32">
        <v>31.599999999999998</v>
      </c>
      <c r="AL42" s="32">
        <v>92.251246186530508</v>
      </c>
      <c r="AM42" s="32">
        <v>3</v>
      </c>
      <c r="AN42" s="32">
        <v>0</v>
      </c>
      <c r="AO42" s="32">
        <v>47.231191578610598</v>
      </c>
      <c r="AP42" s="32">
        <v>97.13118124334467</v>
      </c>
      <c r="AQ42" s="32">
        <v>0</v>
      </c>
      <c r="AR42" s="30">
        <v>0</v>
      </c>
      <c r="AS42" s="30">
        <v>18.36</v>
      </c>
      <c r="AT42" s="30">
        <v>0</v>
      </c>
      <c r="AU42" s="30">
        <v>1.4076000000000002</v>
      </c>
      <c r="AV42" s="30">
        <v>0</v>
      </c>
      <c r="AW42" s="30">
        <v>0</v>
      </c>
      <c r="AX42" s="30">
        <v>0.24105353963173451</v>
      </c>
      <c r="AY42" s="30">
        <v>7.2049156354801829</v>
      </c>
      <c r="AZ42" s="30">
        <v>0</v>
      </c>
      <c r="BA42" s="30">
        <v>9.7006098171056934</v>
      </c>
      <c r="BB42" s="30">
        <v>3.24048506398365</v>
      </c>
      <c r="BC42" s="30">
        <v>10.078201627151238</v>
      </c>
      <c r="BD42" s="30">
        <v>0.6</v>
      </c>
      <c r="BE42" s="30">
        <v>7.3690140756163203</v>
      </c>
      <c r="BF42" s="30">
        <v>2.6626258667906999</v>
      </c>
      <c r="BG42" s="30">
        <v>10.03163994240702</v>
      </c>
      <c r="BH42" s="30">
        <v>0</v>
      </c>
      <c r="BI42" s="30">
        <v>10.031639942407018</v>
      </c>
    </row>
    <row r="43" spans="1:61" ht="15.75" customHeight="1" x14ac:dyDescent="0.2">
      <c r="A43" s="3" t="s">
        <v>827</v>
      </c>
      <c r="B43" s="3" t="s">
        <v>103</v>
      </c>
      <c r="C43" s="3" t="s">
        <v>826</v>
      </c>
      <c r="D43" s="28" t="s">
        <v>692</v>
      </c>
      <c r="E43" s="28" t="s">
        <v>828</v>
      </c>
      <c r="F43" s="32">
        <v>2000</v>
      </c>
      <c r="G43" s="32">
        <v>227</v>
      </c>
      <c r="H43" s="161">
        <v>42</v>
      </c>
      <c r="I43" s="28">
        <v>29.5</v>
      </c>
      <c r="J43" s="28">
        <v>21.5</v>
      </c>
      <c r="K43" s="28">
        <v>33.558431157093239</v>
      </c>
      <c r="L43" s="28">
        <v>22.205655526992285</v>
      </c>
      <c r="M43" s="30">
        <v>0.41603618475346632</v>
      </c>
      <c r="N43" s="30">
        <v>0</v>
      </c>
      <c r="O43" s="30">
        <v>5.4585289449009773</v>
      </c>
      <c r="P43" s="30">
        <v>1</v>
      </c>
      <c r="Q43" s="30">
        <v>0.96218756896046542</v>
      </c>
      <c r="R43" s="30">
        <v>42.998238081705281</v>
      </c>
      <c r="S43" s="30">
        <v>6.4497357122557917</v>
      </c>
      <c r="T43" s="30">
        <v>36.548502369449487</v>
      </c>
      <c r="U43" s="30">
        <v>0</v>
      </c>
      <c r="V43" s="32">
        <v>202.95768442564778</v>
      </c>
      <c r="W43" s="32">
        <v>328.26665517771687</v>
      </c>
      <c r="X43" s="32">
        <v>531.22433960336468</v>
      </c>
      <c r="Y43" s="32">
        <v>0</v>
      </c>
      <c r="Z43" s="32">
        <v>531.22433960336468</v>
      </c>
      <c r="AA43" s="32">
        <v>1101.8839974148455</v>
      </c>
      <c r="AB43" s="28">
        <v>0</v>
      </c>
      <c r="AC43" s="28">
        <v>0</v>
      </c>
      <c r="AD43" s="28">
        <v>0</v>
      </c>
      <c r="AE43" s="28">
        <v>7.5086046704873626</v>
      </c>
      <c r="AF43" s="28">
        <v>1.5</v>
      </c>
      <c r="AG43" s="28">
        <v>9.7245207000147822</v>
      </c>
      <c r="AH43" s="28">
        <v>0</v>
      </c>
      <c r="AI43" s="32">
        <v>93.607656672310881</v>
      </c>
      <c r="AJ43" s="30">
        <v>0.65347976662576157</v>
      </c>
      <c r="AK43" s="32">
        <v>31.599999999999998</v>
      </c>
      <c r="AL43" s="32">
        <v>92.251246186530508</v>
      </c>
      <c r="AM43" s="32">
        <v>3</v>
      </c>
      <c r="AN43" s="32">
        <v>0</v>
      </c>
      <c r="AO43" s="32">
        <v>48.731191578610598</v>
      </c>
      <c r="AP43" s="32">
        <v>106.85570194335945</v>
      </c>
      <c r="AQ43" s="32">
        <v>0</v>
      </c>
      <c r="AR43" s="30">
        <v>0</v>
      </c>
      <c r="AS43" s="30">
        <v>18.36</v>
      </c>
      <c r="AT43" s="30">
        <v>0</v>
      </c>
      <c r="AU43" s="30">
        <v>1.4076000000000002</v>
      </c>
      <c r="AV43" s="30">
        <v>0</v>
      </c>
      <c r="AW43" s="30">
        <v>0</v>
      </c>
      <c r="AX43" s="30">
        <v>0.24718994849449366</v>
      </c>
      <c r="AY43" s="30">
        <v>7.4521055839746762</v>
      </c>
      <c r="AZ43" s="30">
        <v>0</v>
      </c>
      <c r="BA43" s="30">
        <v>9.7006098171056934</v>
      </c>
      <c r="BB43" s="30">
        <v>2.9189599494855583</v>
      </c>
      <c r="BC43" s="30">
        <v>9.7253917608031379</v>
      </c>
      <c r="BD43" s="30">
        <v>0.6</v>
      </c>
      <c r="BE43" s="30">
        <v>7.9306629250334995</v>
      </c>
      <c r="BF43" s="30">
        <v>2.7009770173735204</v>
      </c>
      <c r="BG43" s="30">
        <v>10.63163994240702</v>
      </c>
      <c r="BH43" s="30">
        <v>0</v>
      </c>
      <c r="BI43" s="30">
        <v>10.631639942407018</v>
      </c>
    </row>
    <row r="44" spans="1:61" ht="15.75" customHeight="1" x14ac:dyDescent="0.2">
      <c r="A44" s="3" t="s">
        <v>827</v>
      </c>
      <c r="B44" s="3" t="s">
        <v>103</v>
      </c>
      <c r="C44" s="3" t="s">
        <v>826</v>
      </c>
      <c r="D44" s="28" t="s">
        <v>692</v>
      </c>
      <c r="E44" s="28" t="s">
        <v>828</v>
      </c>
      <c r="F44" s="32">
        <v>2000</v>
      </c>
      <c r="G44" s="32">
        <v>228</v>
      </c>
      <c r="H44" s="161">
        <v>43</v>
      </c>
      <c r="I44" s="28">
        <v>28.05</v>
      </c>
      <c r="J44" s="28">
        <v>20.05</v>
      </c>
      <c r="K44" s="28">
        <v>34.329585003247082</v>
      </c>
      <c r="L44" s="28">
        <v>22.721079691516707</v>
      </c>
      <c r="M44" s="30">
        <v>0.40626277580703918</v>
      </c>
      <c r="N44" s="30">
        <v>0</v>
      </c>
      <c r="O44" s="30">
        <v>5.8745651296544432</v>
      </c>
      <c r="P44" s="30">
        <v>1</v>
      </c>
      <c r="Q44" s="30">
        <v>0.97054050699767136</v>
      </c>
      <c r="R44" s="30">
        <v>46.143377864697285</v>
      </c>
      <c r="S44" s="30">
        <v>6.921506679704593</v>
      </c>
      <c r="T44" s="30">
        <v>39.221871184992693</v>
      </c>
      <c r="U44" s="30">
        <v>0</v>
      </c>
      <c r="V44" s="32">
        <v>209.87919110535239</v>
      </c>
      <c r="W44" s="32">
        <v>367.48852636270954</v>
      </c>
      <c r="X44" s="32">
        <v>577.36771746806198</v>
      </c>
      <c r="Y44" s="32">
        <v>0</v>
      </c>
      <c r="Z44" s="32">
        <v>577.36771746806198</v>
      </c>
      <c r="AA44" s="32">
        <v>1101.8839974148455</v>
      </c>
      <c r="AB44" s="28">
        <v>0</v>
      </c>
      <c r="AC44" s="28">
        <v>0</v>
      </c>
      <c r="AD44" s="28">
        <v>0</v>
      </c>
      <c r="AE44" s="28">
        <v>7.2311662827163552</v>
      </c>
      <c r="AF44" s="28">
        <v>1.5</v>
      </c>
      <c r="AG44" s="28">
        <v>9.3315532658248408</v>
      </c>
      <c r="AH44" s="28">
        <v>0</v>
      </c>
      <c r="AI44" s="32">
        <v>83.335266566069649</v>
      </c>
      <c r="AJ44" s="30">
        <v>0.58176769383224458</v>
      </c>
      <c r="AK44" s="32">
        <v>31.599999999999998</v>
      </c>
      <c r="AL44" s="32">
        <v>92.251246186530508</v>
      </c>
      <c r="AM44" s="32">
        <v>3</v>
      </c>
      <c r="AN44" s="32">
        <v>0</v>
      </c>
      <c r="AO44" s="32">
        <v>50.231191578610598</v>
      </c>
      <c r="AP44" s="32">
        <v>116.18725520918429</v>
      </c>
      <c r="AQ44" s="32">
        <v>0</v>
      </c>
      <c r="AR44" s="30">
        <v>0</v>
      </c>
      <c r="AS44" s="30">
        <v>18.36</v>
      </c>
      <c r="AT44" s="30">
        <v>0</v>
      </c>
      <c r="AU44" s="30">
        <v>1.4076000000000002</v>
      </c>
      <c r="AV44" s="30">
        <v>0</v>
      </c>
      <c r="AW44" s="30">
        <v>0</v>
      </c>
      <c r="AX44" s="30">
        <v>0.19428302778599474</v>
      </c>
      <c r="AY44" s="30">
        <v>7.6463886117606705</v>
      </c>
      <c r="AZ44" s="30">
        <v>0</v>
      </c>
      <c r="BA44" s="30">
        <v>9.7006098171056934</v>
      </c>
      <c r="BB44" s="30">
        <v>2.5808505501503607</v>
      </c>
      <c r="BC44" s="30">
        <v>9.3196749941417281</v>
      </c>
      <c r="BD44" s="30">
        <v>0.6</v>
      </c>
      <c r="BE44" s="30">
        <v>8.4791176723730022</v>
      </c>
      <c r="BF44" s="30">
        <v>2.7525222700340173</v>
      </c>
      <c r="BG44" s="30">
        <v>11.231639942407019</v>
      </c>
      <c r="BH44" s="30">
        <v>0</v>
      </c>
      <c r="BI44" s="30">
        <v>11.231639942407018</v>
      </c>
    </row>
    <row r="45" spans="1:61" ht="15.75" customHeight="1" x14ac:dyDescent="0.2">
      <c r="A45" s="3" t="s">
        <v>827</v>
      </c>
      <c r="B45" s="3" t="s">
        <v>103</v>
      </c>
      <c r="C45" s="3" t="s">
        <v>826</v>
      </c>
      <c r="D45" s="28" t="s">
        <v>692</v>
      </c>
      <c r="E45" s="28" t="s">
        <v>828</v>
      </c>
      <c r="F45" s="32">
        <v>2000</v>
      </c>
      <c r="G45" s="32">
        <v>229</v>
      </c>
      <c r="H45" s="161">
        <v>44</v>
      </c>
      <c r="I45" s="28">
        <v>29.3</v>
      </c>
      <c r="J45" s="28">
        <v>21.3</v>
      </c>
      <c r="K45" s="28">
        <v>35.148815772477853</v>
      </c>
      <c r="L45" s="28">
        <v>23.268637532133674</v>
      </c>
      <c r="M45" s="30">
        <v>0.4513506034622578</v>
      </c>
      <c r="N45" s="30">
        <v>0</v>
      </c>
      <c r="O45" s="30">
        <v>6.2808279054614822</v>
      </c>
      <c r="P45" s="30">
        <v>1</v>
      </c>
      <c r="Q45" s="30">
        <v>0.97691325748429525</v>
      </c>
      <c r="R45" s="30">
        <v>37.583806841935804</v>
      </c>
      <c r="S45" s="30">
        <v>5.6375710262903702</v>
      </c>
      <c r="T45" s="30">
        <v>31.946235815645434</v>
      </c>
      <c r="U45" s="30">
        <v>0</v>
      </c>
      <c r="V45" s="32">
        <v>215.51676213164276</v>
      </c>
      <c r="W45" s="32">
        <v>399.43476217835496</v>
      </c>
      <c r="X45" s="32">
        <v>614.95152430999781</v>
      </c>
      <c r="Y45" s="32">
        <v>0</v>
      </c>
      <c r="Z45" s="32">
        <v>614.95152430999781</v>
      </c>
      <c r="AA45" s="32">
        <v>1101.8839974148455</v>
      </c>
      <c r="AB45" s="28">
        <v>0</v>
      </c>
      <c r="AC45" s="28">
        <v>0</v>
      </c>
      <c r="AD45" s="28">
        <v>0</v>
      </c>
      <c r="AE45" s="28">
        <v>5.7679727245826671</v>
      </c>
      <c r="AF45" s="28">
        <v>1.5</v>
      </c>
      <c r="AG45" s="28">
        <v>3.596475851337599</v>
      </c>
      <c r="AH45" s="28">
        <v>0</v>
      </c>
      <c r="AI45" s="32">
        <v>78.454297902347349</v>
      </c>
      <c r="AJ45" s="30">
        <v>0.54769340571666147</v>
      </c>
      <c r="AK45" s="32">
        <v>31.599999999999998</v>
      </c>
      <c r="AL45" s="32">
        <v>92.251246186530508</v>
      </c>
      <c r="AM45" s="32">
        <v>3</v>
      </c>
      <c r="AN45" s="32">
        <v>0</v>
      </c>
      <c r="AO45" s="32">
        <v>51.731191578610598</v>
      </c>
      <c r="AP45" s="32">
        <v>119.78373106052189</v>
      </c>
      <c r="AQ45" s="32">
        <v>0</v>
      </c>
      <c r="AR45" s="30">
        <v>0</v>
      </c>
      <c r="AS45" s="30">
        <v>18.36</v>
      </c>
      <c r="AT45" s="30">
        <v>0</v>
      </c>
      <c r="AU45" s="30">
        <v>1.4076000000000002</v>
      </c>
      <c r="AV45" s="30">
        <v>0</v>
      </c>
      <c r="AW45" s="30">
        <v>0</v>
      </c>
      <c r="AX45" s="30">
        <v>0.19483818454007537</v>
      </c>
      <c r="AY45" s="30">
        <v>7.841226796300746</v>
      </c>
      <c r="AZ45" s="30">
        <v>0</v>
      </c>
      <c r="BA45" s="30">
        <v>9.7006098171056934</v>
      </c>
      <c r="BB45" s="30">
        <v>2.3519586728448876</v>
      </c>
      <c r="BC45" s="30">
        <v>8.9145134111632114</v>
      </c>
      <c r="BD45" s="30">
        <v>0.6</v>
      </c>
      <c r="BE45" s="30">
        <v>9.0884409870470506</v>
      </c>
      <c r="BF45" s="30">
        <v>2.7431989553599694</v>
      </c>
      <c r="BG45" s="30">
        <v>11.831639942407019</v>
      </c>
      <c r="BH45" s="30">
        <v>0</v>
      </c>
      <c r="BI45" s="30">
        <v>11.831639942407017</v>
      </c>
    </row>
    <row r="46" spans="1:61" ht="15.75" customHeight="1" x14ac:dyDescent="0.2">
      <c r="A46" s="3" t="s">
        <v>827</v>
      </c>
      <c r="B46" s="3" t="s">
        <v>103</v>
      </c>
      <c r="C46" s="3" t="s">
        <v>826</v>
      </c>
      <c r="D46" s="28" t="s">
        <v>692</v>
      </c>
      <c r="E46" s="28" t="s">
        <v>828</v>
      </c>
      <c r="F46" s="32">
        <v>2000</v>
      </c>
      <c r="G46" s="32">
        <v>230</v>
      </c>
      <c r="H46" s="161">
        <v>45</v>
      </c>
      <c r="I46" s="28">
        <v>28.8</v>
      </c>
      <c r="J46" s="28">
        <v>20.8</v>
      </c>
      <c r="K46" s="28">
        <v>35.94881577247785</v>
      </c>
      <c r="L46" s="28">
        <v>23.803341902313623</v>
      </c>
      <c r="M46" s="30">
        <v>0.46082174592431491</v>
      </c>
      <c r="N46" s="30">
        <v>0</v>
      </c>
      <c r="O46" s="30">
        <v>6.7321785089237398</v>
      </c>
      <c r="P46" s="30">
        <v>1</v>
      </c>
      <c r="Q46" s="30">
        <v>0.98239033016468558</v>
      </c>
      <c r="R46" s="30">
        <v>28.88227570684176</v>
      </c>
      <c r="S46" s="30">
        <v>4.332341356026264</v>
      </c>
      <c r="T46" s="30">
        <v>24.549934350815498</v>
      </c>
      <c r="U46" s="30">
        <v>0</v>
      </c>
      <c r="V46" s="32">
        <v>219.84910348766903</v>
      </c>
      <c r="W46" s="32">
        <v>423.98469652917044</v>
      </c>
      <c r="X46" s="32">
        <v>643.83380001683952</v>
      </c>
      <c r="Y46" s="32">
        <v>0</v>
      </c>
      <c r="Z46" s="32">
        <v>643.83380001683952</v>
      </c>
      <c r="AA46" s="32">
        <v>1101.8839974148455</v>
      </c>
      <c r="AB46" s="28">
        <v>0</v>
      </c>
      <c r="AC46" s="28">
        <v>0</v>
      </c>
      <c r="AD46" s="28">
        <v>0</v>
      </c>
      <c r="AE46" s="28">
        <v>4.4435380467687615</v>
      </c>
      <c r="AF46" s="28">
        <v>1.5</v>
      </c>
      <c r="AG46" s="28">
        <v>5.0557142689178285</v>
      </c>
      <c r="AH46" s="28">
        <v>0</v>
      </c>
      <c r="AI46" s="32">
        <v>72.201530965350514</v>
      </c>
      <c r="AJ46" s="30">
        <v>0.50404252475232014</v>
      </c>
      <c r="AK46" s="32">
        <v>31.599999999999998</v>
      </c>
      <c r="AL46" s="32">
        <v>92.251246186530508</v>
      </c>
      <c r="AM46" s="32">
        <v>3</v>
      </c>
      <c r="AN46" s="32">
        <v>0</v>
      </c>
      <c r="AO46" s="32">
        <v>53.231191578610598</v>
      </c>
      <c r="AP46" s="32">
        <v>124.83944532943971</v>
      </c>
      <c r="AQ46" s="32">
        <v>0</v>
      </c>
      <c r="AR46" s="30">
        <v>0</v>
      </c>
      <c r="AS46" s="30">
        <v>18.36</v>
      </c>
      <c r="AT46" s="30">
        <v>0</v>
      </c>
      <c r="AU46" s="30">
        <v>1.4076000000000002</v>
      </c>
      <c r="AV46" s="30">
        <v>0</v>
      </c>
      <c r="AW46" s="30">
        <v>0</v>
      </c>
      <c r="AX46" s="30">
        <v>0.169375434682563</v>
      </c>
      <c r="AY46" s="30">
        <v>8.0106022309833094</v>
      </c>
      <c r="AZ46" s="30">
        <v>0</v>
      </c>
      <c r="BA46" s="30">
        <v>9.7006098171056934</v>
      </c>
      <c r="BB46" s="30">
        <v>2.0856855939639476</v>
      </c>
      <c r="BC46" s="30">
        <v>8.4838891009521902</v>
      </c>
      <c r="BD46" s="30">
        <v>0.6</v>
      </c>
      <c r="BE46" s="30">
        <v>9.7105503440448757</v>
      </c>
      <c r="BF46" s="30">
        <v>2.7210895983621439</v>
      </c>
      <c r="BG46" s="30">
        <v>12.431639942407021</v>
      </c>
      <c r="BH46" s="30">
        <v>0</v>
      </c>
      <c r="BI46" s="30">
        <v>12.431639942407017</v>
      </c>
    </row>
    <row r="47" spans="1:61" ht="15.75" customHeight="1" x14ac:dyDescent="0.2">
      <c r="A47" s="3" t="s">
        <v>827</v>
      </c>
      <c r="B47" s="3" t="s">
        <v>103</v>
      </c>
      <c r="C47" s="3" t="s">
        <v>826</v>
      </c>
      <c r="D47" s="28" t="s">
        <v>692</v>
      </c>
      <c r="E47" s="28" t="s">
        <v>828</v>
      </c>
      <c r="F47" s="32">
        <v>2000</v>
      </c>
      <c r="G47" s="32">
        <v>231</v>
      </c>
      <c r="H47" s="161">
        <v>46</v>
      </c>
      <c r="I47" s="28">
        <v>29</v>
      </c>
      <c r="J47" s="28">
        <v>21</v>
      </c>
      <c r="K47" s="28">
        <v>36.756508080170157</v>
      </c>
      <c r="L47" s="28">
        <v>23.803341902313623</v>
      </c>
      <c r="M47" s="30">
        <v>9.5311509832577801E-2</v>
      </c>
      <c r="N47" s="30">
        <v>0</v>
      </c>
      <c r="O47" s="30">
        <v>7.1930002548480552</v>
      </c>
      <c r="P47" s="30">
        <v>1</v>
      </c>
      <c r="Q47" s="30">
        <v>0.9866441415195345</v>
      </c>
      <c r="R47" s="30">
        <v>37.460904765213684</v>
      </c>
      <c r="S47" s="30">
        <v>1.8730452382606844</v>
      </c>
      <c r="T47" s="148">
        <v>35.587859526952997</v>
      </c>
      <c r="U47" s="30">
        <v>0</v>
      </c>
      <c r="V47" s="32">
        <v>221.72214872592971</v>
      </c>
      <c r="W47" s="32">
        <v>459.5725560561234</v>
      </c>
      <c r="X47" s="32">
        <v>681.29470478205326</v>
      </c>
      <c r="Y47" s="32">
        <v>0</v>
      </c>
      <c r="Z47" s="32">
        <v>681.29470478205326</v>
      </c>
      <c r="AA47" s="32">
        <v>1101.8839974148455</v>
      </c>
      <c r="AB47" s="28">
        <v>0</v>
      </c>
      <c r="AC47" s="28">
        <v>0</v>
      </c>
      <c r="AD47" s="28">
        <v>0</v>
      </c>
      <c r="AE47" s="28">
        <v>6.3099389007620443</v>
      </c>
      <c r="AF47" s="28">
        <v>1.5</v>
      </c>
      <c r="AG47" s="28">
        <v>8.9016124316794318</v>
      </c>
      <c r="AH47" s="28">
        <v>0</v>
      </c>
      <c r="AI47" s="32">
        <v>62.358810636493011</v>
      </c>
      <c r="AJ47" s="30">
        <v>0.43532999831892399</v>
      </c>
      <c r="AK47" s="32">
        <v>31.599999999999998</v>
      </c>
      <c r="AL47" s="32">
        <v>92.251246186530508</v>
      </c>
      <c r="AM47" s="32">
        <v>3</v>
      </c>
      <c r="AN47" s="32">
        <v>0</v>
      </c>
      <c r="AO47" s="32">
        <v>54.731191578610598</v>
      </c>
      <c r="AP47" s="32">
        <v>133.74105776111915</v>
      </c>
      <c r="AQ47" s="32">
        <v>0</v>
      </c>
      <c r="AR47" s="30">
        <v>0</v>
      </c>
      <c r="AS47" s="30">
        <v>18.36</v>
      </c>
      <c r="AT47" s="30">
        <v>0</v>
      </c>
      <c r="AU47" s="30">
        <v>1.4076000000000002</v>
      </c>
      <c r="AV47" s="30">
        <v>0</v>
      </c>
      <c r="AW47" s="30">
        <v>0</v>
      </c>
      <c r="AX47" s="30">
        <v>0.14509533808379366</v>
      </c>
      <c r="AY47" s="30">
        <v>8.1556975690671027</v>
      </c>
      <c r="AZ47" s="30">
        <v>0</v>
      </c>
      <c r="BA47" s="30">
        <v>9.7006098171056934</v>
      </c>
      <c r="BB47" s="30">
        <v>1.737526136868444</v>
      </c>
      <c r="BC47" s="30">
        <v>8.0289847267110357</v>
      </c>
      <c r="BD47" s="30">
        <v>0.6</v>
      </c>
      <c r="BE47" s="30">
        <v>9.8392208823188554</v>
      </c>
      <c r="BF47" s="30">
        <v>3.1924190600881639</v>
      </c>
      <c r="BG47" s="30">
        <v>13.031639942407018</v>
      </c>
      <c r="BH47" s="30">
        <v>0</v>
      </c>
      <c r="BI47" s="30">
        <v>13.031639942407017</v>
      </c>
    </row>
    <row r="48" spans="1:61" ht="15.75" customHeight="1" x14ac:dyDescent="0.2">
      <c r="A48" s="3" t="s">
        <v>827</v>
      </c>
      <c r="B48" s="3" t="s">
        <v>103</v>
      </c>
      <c r="C48" s="3" t="s">
        <v>826</v>
      </c>
      <c r="D48" s="28" t="s">
        <v>692</v>
      </c>
      <c r="E48" s="28" t="s">
        <v>828</v>
      </c>
      <c r="F48" s="32">
        <v>2000</v>
      </c>
      <c r="G48" s="32">
        <v>232</v>
      </c>
      <c r="H48" s="161">
        <v>47</v>
      </c>
      <c r="I48" s="28">
        <v>29.3</v>
      </c>
      <c r="J48" s="28">
        <v>21.3</v>
      </c>
      <c r="K48" s="28">
        <v>37.575738849400928</v>
      </c>
      <c r="L48" s="28">
        <v>23.803341902313623</v>
      </c>
      <c r="M48" s="30">
        <v>4.1206995241735052E-2</v>
      </c>
      <c r="N48" s="30">
        <v>0</v>
      </c>
      <c r="O48" s="30">
        <v>7.2883117646806328</v>
      </c>
      <c r="P48" s="30">
        <v>1</v>
      </c>
      <c r="Q48" s="30">
        <v>0.98738649304724979</v>
      </c>
      <c r="R48" s="30">
        <v>33.673828958883405</v>
      </c>
      <c r="S48" s="30">
        <v>1.6836914479441702</v>
      </c>
      <c r="T48" s="30">
        <v>31.990137510939235</v>
      </c>
      <c r="U48" s="30">
        <v>0</v>
      </c>
      <c r="V48" s="32">
        <v>223.40584017387388</v>
      </c>
      <c r="W48" s="32">
        <v>491.56269356706264</v>
      </c>
      <c r="X48" s="32">
        <v>714.96853374093666</v>
      </c>
      <c r="Y48" s="32">
        <v>0</v>
      </c>
      <c r="Z48" s="32">
        <v>714.96853374093666</v>
      </c>
      <c r="AA48" s="32">
        <v>1101.8839974148455</v>
      </c>
      <c r="AB48" s="28">
        <v>0</v>
      </c>
      <c r="AC48" s="28">
        <v>80.886109027436902</v>
      </c>
      <c r="AD48" s="28">
        <v>0</v>
      </c>
      <c r="AE48" s="28">
        <v>5.4364460683757612</v>
      </c>
      <c r="AF48" s="28">
        <v>0.62132034355964272</v>
      </c>
      <c r="AG48" s="28">
        <v>6.6165789219208078</v>
      </c>
      <c r="AH48" s="28">
        <v>0</v>
      </c>
      <c r="AI48" s="32">
        <v>136.4882984912461</v>
      </c>
      <c r="AJ48" s="30">
        <v>0.95283168723515166</v>
      </c>
      <c r="AK48" s="32">
        <v>31.599999999999998</v>
      </c>
      <c r="AL48" s="32">
        <v>173.1373552139674</v>
      </c>
      <c r="AM48" s="32">
        <v>4</v>
      </c>
      <c r="AN48" s="32">
        <v>0</v>
      </c>
      <c r="AO48" s="32">
        <v>55.352511922170244</v>
      </c>
      <c r="AP48" s="32">
        <v>140.35763668303997</v>
      </c>
      <c r="AQ48" s="32">
        <v>0</v>
      </c>
      <c r="AR48" s="30">
        <v>0</v>
      </c>
      <c r="AS48" s="30">
        <v>18.36</v>
      </c>
      <c r="AT48" s="30">
        <v>0</v>
      </c>
      <c r="AU48" s="30">
        <v>1.4076000000000002</v>
      </c>
      <c r="AV48" s="30">
        <v>0</v>
      </c>
      <c r="AW48" s="30">
        <v>0</v>
      </c>
      <c r="AX48" s="30">
        <v>0.10205476589564141</v>
      </c>
      <c r="AY48" s="30">
        <v>8.2577523349627437</v>
      </c>
      <c r="AZ48" s="30">
        <v>0.33743052063401791</v>
      </c>
      <c r="BA48" s="30">
        <v>10.03804033773971</v>
      </c>
      <c r="BB48" s="30">
        <v>2.1581221560806143</v>
      </c>
      <c r="BC48" s="30">
        <v>7.1936093172910063</v>
      </c>
      <c r="BD48" s="30">
        <v>0.6</v>
      </c>
      <c r="BE48" s="30">
        <v>9.894850325895197</v>
      </c>
      <c r="BF48" s="30">
        <v>3.7367896165118215</v>
      </c>
      <c r="BG48" s="30">
        <v>13.631639942407018</v>
      </c>
      <c r="BH48" s="30">
        <v>0</v>
      </c>
      <c r="BI48" s="30">
        <v>13.631639942407016</v>
      </c>
    </row>
    <row r="49" spans="1:61" ht="15.75" customHeight="1" x14ac:dyDescent="0.2">
      <c r="A49" s="3" t="s">
        <v>827</v>
      </c>
      <c r="B49" s="3" t="s">
        <v>103</v>
      </c>
      <c r="C49" s="3" t="s">
        <v>826</v>
      </c>
      <c r="D49" s="28" t="s">
        <v>692</v>
      </c>
      <c r="E49" s="28" t="s">
        <v>828</v>
      </c>
      <c r="F49" s="32">
        <v>2000</v>
      </c>
      <c r="G49" s="32">
        <v>233</v>
      </c>
      <c r="H49" s="161">
        <v>48</v>
      </c>
      <c r="I49" s="28">
        <v>29.1</v>
      </c>
      <c r="J49" s="28">
        <v>21.1</v>
      </c>
      <c r="K49" s="28">
        <v>38.387277310939389</v>
      </c>
      <c r="L49" s="28">
        <v>23.803341902313623</v>
      </c>
      <c r="M49" s="30">
        <v>3.7041211854771744E-2</v>
      </c>
      <c r="N49" s="30">
        <v>0</v>
      </c>
      <c r="O49" s="30">
        <v>7.3295187599223679</v>
      </c>
      <c r="P49" s="30">
        <v>1</v>
      </c>
      <c r="Q49" s="30">
        <v>0.98769452822727632</v>
      </c>
      <c r="R49" s="30">
        <v>41.980968227772152</v>
      </c>
      <c r="S49" s="30">
        <v>2.0990484113886079</v>
      </c>
      <c r="T49" s="30">
        <v>39.881919816383544</v>
      </c>
      <c r="U49" s="30">
        <v>0</v>
      </c>
      <c r="V49" s="32">
        <v>225.50488858526248</v>
      </c>
      <c r="W49" s="32">
        <v>531.44461338344615</v>
      </c>
      <c r="X49" s="32">
        <v>756.94950196870877</v>
      </c>
      <c r="Y49" s="32">
        <v>0</v>
      </c>
      <c r="Z49" s="32">
        <v>756.94950196870877</v>
      </c>
      <c r="AA49" s="32">
        <v>1101.8839974148455</v>
      </c>
      <c r="AB49" s="28">
        <v>0</v>
      </c>
      <c r="AC49" s="28">
        <v>0</v>
      </c>
      <c r="AD49" s="28">
        <v>0</v>
      </c>
      <c r="AE49" s="28">
        <v>6.568779373764805</v>
      </c>
      <c r="AF49" s="28">
        <v>0.47675586779367307</v>
      </c>
      <c r="AG49" s="28">
        <v>7.6009689633254407</v>
      </c>
      <c r="AH49" s="28">
        <v>0</v>
      </c>
      <c r="AI49" s="32">
        <v>128.92324204869726</v>
      </c>
      <c r="AJ49" s="30">
        <v>0.90001964712722049</v>
      </c>
      <c r="AK49" s="32">
        <v>31.599999999999998</v>
      </c>
      <c r="AL49" s="32">
        <v>173.1373552139674</v>
      </c>
      <c r="AM49" s="32">
        <v>4</v>
      </c>
      <c r="AN49" s="32">
        <v>0</v>
      </c>
      <c r="AO49" s="32">
        <v>55.829267789963914</v>
      </c>
      <c r="AP49" s="32">
        <v>147.95860564636541</v>
      </c>
      <c r="AQ49" s="32">
        <v>0</v>
      </c>
      <c r="AR49" s="30">
        <v>0</v>
      </c>
      <c r="AS49" s="30">
        <v>18.36</v>
      </c>
      <c r="AT49" s="30">
        <v>0</v>
      </c>
      <c r="AU49" s="30">
        <v>1.4076000000000002</v>
      </c>
      <c r="AV49" s="30">
        <v>0</v>
      </c>
      <c r="AW49" s="30">
        <v>0</v>
      </c>
      <c r="AX49" s="30">
        <v>1.533016772452106E-2</v>
      </c>
      <c r="AY49" s="30">
        <v>8.2730825026872647</v>
      </c>
      <c r="AZ49" s="30">
        <v>8.7471179579482444E-2</v>
      </c>
      <c r="BA49" s="30">
        <v>10.125511517319193</v>
      </c>
      <c r="BB49" s="30">
        <v>1.9355940698117695</v>
      </c>
      <c r="BC49" s="30">
        <v>6.5214685834553965</v>
      </c>
      <c r="BD49" s="30">
        <v>0.6</v>
      </c>
      <c r="BE49" s="30">
        <v>9.9448559618991386</v>
      </c>
      <c r="BF49" s="30">
        <v>4.28678398050788</v>
      </c>
      <c r="BG49" s="30">
        <v>14.231639942407018</v>
      </c>
      <c r="BH49" s="30">
        <v>0</v>
      </c>
      <c r="BI49" s="30">
        <v>14.231639942407016</v>
      </c>
    </row>
    <row r="50" spans="1:61" ht="15.75" customHeight="1" x14ac:dyDescent="0.2">
      <c r="A50" s="3" t="s">
        <v>827</v>
      </c>
      <c r="B50" s="3" t="s">
        <v>103</v>
      </c>
      <c r="C50" s="3" t="s">
        <v>826</v>
      </c>
      <c r="D50" s="28" t="s">
        <v>692</v>
      </c>
      <c r="E50" s="28" t="s">
        <v>828</v>
      </c>
      <c r="F50" s="32">
        <v>2000</v>
      </c>
      <c r="G50" s="32">
        <v>234</v>
      </c>
      <c r="H50" s="161">
        <v>49</v>
      </c>
      <c r="I50" s="28">
        <v>29.5</v>
      </c>
      <c r="J50" s="28">
        <v>21.5</v>
      </c>
      <c r="K50" s="28">
        <v>39.214200387862469</v>
      </c>
      <c r="L50" s="28">
        <v>23.803341902313623</v>
      </c>
      <c r="M50" s="30">
        <v>4.6179065050549369E-2</v>
      </c>
      <c r="N50" s="30">
        <v>0</v>
      </c>
      <c r="O50" s="30">
        <v>7.3665599717771393</v>
      </c>
      <c r="P50" s="30">
        <v>1</v>
      </c>
      <c r="Q50" s="30">
        <v>0.9879649972959661</v>
      </c>
      <c r="R50" s="30">
        <v>34.1914926264188</v>
      </c>
      <c r="S50" s="30">
        <v>1.7095746313209401</v>
      </c>
      <c r="T50" s="30">
        <v>32.481917995097859</v>
      </c>
      <c r="U50" s="30">
        <v>0</v>
      </c>
      <c r="V50" s="32">
        <v>227.21446321658343</v>
      </c>
      <c r="W50" s="32">
        <v>563.92653137854404</v>
      </c>
      <c r="X50" s="32">
        <v>791.14099459512761</v>
      </c>
      <c r="Y50" s="32">
        <v>0</v>
      </c>
      <c r="Z50" s="32">
        <v>791.14099459512761</v>
      </c>
      <c r="AA50" s="32">
        <v>1101.8839974148455</v>
      </c>
      <c r="AB50" s="28">
        <v>0</v>
      </c>
      <c r="AC50" s="28">
        <v>0</v>
      </c>
      <c r="AD50" s="28">
        <v>0</v>
      </c>
      <c r="AE50" s="28">
        <v>5.6339116058663654</v>
      </c>
      <c r="AF50" s="28">
        <v>0.40192378864668421</v>
      </c>
      <c r="AG50" s="28">
        <v>7.0215667634342118</v>
      </c>
      <c r="AH50" s="28">
        <v>0</v>
      </c>
      <c r="AI50" s="32">
        <v>121.95270967001525</v>
      </c>
      <c r="AJ50" s="30">
        <v>0.85135800945772599</v>
      </c>
      <c r="AK50" s="32">
        <v>31.599999999999998</v>
      </c>
      <c r="AL50" s="32">
        <v>173.1373552139674</v>
      </c>
      <c r="AM50" s="32">
        <v>4</v>
      </c>
      <c r="AN50" s="32">
        <v>0</v>
      </c>
      <c r="AO50" s="32">
        <v>56.231191578610598</v>
      </c>
      <c r="AP50" s="32">
        <v>154.98017240979962</v>
      </c>
      <c r="AQ50" s="32">
        <v>0</v>
      </c>
      <c r="AR50" s="30">
        <v>0</v>
      </c>
      <c r="AS50" s="30">
        <v>18.36</v>
      </c>
      <c r="AT50" s="30">
        <v>0</v>
      </c>
      <c r="AU50" s="30">
        <v>1.4076000000000002</v>
      </c>
      <c r="AV50" s="30">
        <v>0</v>
      </c>
      <c r="AW50" s="30">
        <v>0</v>
      </c>
      <c r="AX50" s="30">
        <v>1.8120730330323419E-2</v>
      </c>
      <c r="AY50" s="30">
        <v>8.2912032330175887</v>
      </c>
      <c r="AZ50" s="30">
        <v>5.5510652714754201E-2</v>
      </c>
      <c r="BA50" s="30">
        <v>10.181022170033948</v>
      </c>
      <c r="BB50" s="30">
        <v>1.6699859359256088</v>
      </c>
      <c r="BC50" s="30">
        <v>5.8840789710531567</v>
      </c>
      <c r="BD50" s="30">
        <v>0.6</v>
      </c>
      <c r="BE50" s="30">
        <v>10.007197699717381</v>
      </c>
      <c r="BF50" s="30">
        <v>4.8244422426896385</v>
      </c>
      <c r="BG50" s="30">
        <v>14.831639942407019</v>
      </c>
      <c r="BH50" s="30">
        <v>0</v>
      </c>
      <c r="BI50" s="30">
        <v>14.831639942407016</v>
      </c>
    </row>
    <row r="51" spans="1:61" ht="15.75" customHeight="1" x14ac:dyDescent="0.2">
      <c r="A51" s="3" t="s">
        <v>827</v>
      </c>
      <c r="B51" s="3" t="s">
        <v>103</v>
      </c>
      <c r="C51" s="3" t="s">
        <v>826</v>
      </c>
      <c r="D51" s="28" t="s">
        <v>692</v>
      </c>
      <c r="E51" s="28" t="s">
        <v>828</v>
      </c>
      <c r="F51" s="32">
        <v>2000</v>
      </c>
      <c r="G51" s="32">
        <v>235</v>
      </c>
      <c r="H51" s="161">
        <v>50</v>
      </c>
      <c r="I51" s="28">
        <v>29.65</v>
      </c>
      <c r="J51" s="28">
        <v>21.65</v>
      </c>
      <c r="K51" s="28">
        <v>40.046892695554774</v>
      </c>
      <c r="L51" s="28">
        <v>23.803341902313623</v>
      </c>
      <c r="M51" s="30">
        <v>3.7610641889060679E-2</v>
      </c>
      <c r="N51" s="30">
        <v>0</v>
      </c>
      <c r="O51" s="30">
        <v>7.4127390368276886</v>
      </c>
      <c r="P51" s="30">
        <v>1</v>
      </c>
      <c r="Q51" s="30">
        <v>0.9882938791230268</v>
      </c>
      <c r="R51" s="30">
        <v>26.067239355748953</v>
      </c>
      <c r="S51" s="30">
        <v>1.3033619677874477</v>
      </c>
      <c r="T51" s="30">
        <v>24.763877387961504</v>
      </c>
      <c r="U51" s="30">
        <v>0</v>
      </c>
      <c r="V51" s="32">
        <v>228.51782518437088</v>
      </c>
      <c r="W51" s="32">
        <v>588.69040876650558</v>
      </c>
      <c r="X51" s="32">
        <v>817.20823395087655</v>
      </c>
      <c r="Y51" s="32">
        <v>0</v>
      </c>
      <c r="Z51" s="32">
        <v>817.20823395087655</v>
      </c>
      <c r="AA51" s="32">
        <v>1101.8839974148455</v>
      </c>
      <c r="AB51" s="28">
        <v>0</v>
      </c>
      <c r="AC51" s="28">
        <v>0</v>
      </c>
      <c r="AD51" s="28">
        <v>0</v>
      </c>
      <c r="AE51" s="28">
        <v>3.982335994632582</v>
      </c>
      <c r="AF51" s="28">
        <v>0.35410196624968471</v>
      </c>
      <c r="AG51" s="28">
        <v>3.3776213541429509</v>
      </c>
      <c r="AH51" s="28">
        <v>0</v>
      </c>
      <c r="AI51" s="32">
        <v>118.42337938907261</v>
      </c>
      <c r="AJ51" s="30">
        <v>0.82671957697982112</v>
      </c>
      <c r="AK51" s="32">
        <v>31.599999999999998</v>
      </c>
      <c r="AL51" s="32">
        <v>173.1373552139674</v>
      </c>
      <c r="AM51" s="32">
        <v>4</v>
      </c>
      <c r="AN51" s="32">
        <v>0</v>
      </c>
      <c r="AO51" s="32">
        <v>56.585293544860285</v>
      </c>
      <c r="AP51" s="32">
        <v>158.35779376394257</v>
      </c>
      <c r="AQ51" s="32">
        <v>0</v>
      </c>
      <c r="AR51" s="30">
        <v>0</v>
      </c>
      <c r="AS51" s="30">
        <v>18.36</v>
      </c>
      <c r="AT51" s="30">
        <v>0</v>
      </c>
      <c r="AU51" s="30">
        <v>1.4076000000000002</v>
      </c>
      <c r="AV51" s="30">
        <v>0</v>
      </c>
      <c r="AW51" s="30">
        <v>0</v>
      </c>
      <c r="AX51" s="30">
        <v>2.1518521456122153E-2</v>
      </c>
      <c r="AY51" s="30">
        <v>8.31272175447371</v>
      </c>
      <c r="AZ51" s="30">
        <v>3.7372253319749069E-2</v>
      </c>
      <c r="BA51" s="30">
        <v>10.218394423353697</v>
      </c>
      <c r="BB51" s="30">
        <v>1.4368970633372289</v>
      </c>
      <c r="BC51" s="30">
        <v>5.2682255984737782</v>
      </c>
      <c r="BD51" s="30">
        <v>0.6</v>
      </c>
      <c r="BE51" s="30">
        <v>10.057972066267613</v>
      </c>
      <c r="BF51" s="30">
        <v>5.3736678761394066</v>
      </c>
      <c r="BG51" s="30">
        <v>15.431639942407021</v>
      </c>
      <c r="BH51" s="30">
        <v>0</v>
      </c>
      <c r="BI51" s="30">
        <v>15.431639942407015</v>
      </c>
    </row>
    <row r="52" spans="1:61" ht="15.75" customHeight="1" x14ac:dyDescent="0.2">
      <c r="A52" s="3" t="s">
        <v>827</v>
      </c>
      <c r="B52" s="3" t="s">
        <v>103</v>
      </c>
      <c r="C52" s="3" t="s">
        <v>826</v>
      </c>
      <c r="D52" s="28" t="s">
        <v>692</v>
      </c>
      <c r="E52" s="28" t="s">
        <v>828</v>
      </c>
      <c r="F52" s="32">
        <v>2000</v>
      </c>
      <c r="G52" s="32">
        <v>236</v>
      </c>
      <c r="H52" s="161">
        <v>51</v>
      </c>
      <c r="I52" s="28">
        <v>30.25</v>
      </c>
      <c r="J52" s="28">
        <v>22.25</v>
      </c>
      <c r="K52" s="28">
        <v>40.902661926324008</v>
      </c>
      <c r="L52" s="28">
        <v>23.803341902313623</v>
      </c>
      <c r="M52" s="30">
        <v>2.8673963291323847E-2</v>
      </c>
      <c r="N52" s="30">
        <v>0</v>
      </c>
      <c r="O52" s="30">
        <v>7.4503496787167496</v>
      </c>
      <c r="P52" s="30">
        <v>1</v>
      </c>
      <c r="Q52" s="30">
        <v>0.98855508562719185</v>
      </c>
      <c r="R52" s="30">
        <v>41.519313596342059</v>
      </c>
      <c r="S52" s="30">
        <v>2.0759656798171031</v>
      </c>
      <c r="T52" s="30">
        <v>39.443347916524957</v>
      </c>
      <c r="U52" s="30">
        <v>0</v>
      </c>
      <c r="V52" s="32">
        <v>230.59379086418798</v>
      </c>
      <c r="W52" s="32">
        <v>628.13375668303058</v>
      </c>
      <c r="X52" s="32">
        <v>858.72754754721859</v>
      </c>
      <c r="Y52" s="32">
        <v>0</v>
      </c>
      <c r="Z52" s="32">
        <v>858.72754754721859</v>
      </c>
      <c r="AA52" s="32">
        <v>1101.8839974148455</v>
      </c>
      <c r="AB52" s="28">
        <v>0</v>
      </c>
      <c r="AC52" s="28">
        <v>0</v>
      </c>
      <c r="AD52" s="28">
        <v>0</v>
      </c>
      <c r="AE52" s="28">
        <v>6.6847964823038639</v>
      </c>
      <c r="AF52" s="28">
        <v>0.32013264792508211</v>
      </c>
      <c r="AG52" s="28">
        <v>6.7104978143188649</v>
      </c>
      <c r="AH52" s="28">
        <v>0</v>
      </c>
      <c r="AI52" s="32">
        <v>111.79485381262248</v>
      </c>
      <c r="AJ52" s="30">
        <v>0.78044550602497365</v>
      </c>
      <c r="AK52" s="32">
        <v>31.599999999999998</v>
      </c>
      <c r="AL52" s="32">
        <v>173.1373552139674</v>
      </c>
      <c r="AM52" s="32">
        <v>4</v>
      </c>
      <c r="AN52" s="32">
        <v>0</v>
      </c>
      <c r="AO52" s="32">
        <v>56.90542619278537</v>
      </c>
      <c r="AP52" s="32">
        <v>165.06829157826144</v>
      </c>
      <c r="AQ52" s="32">
        <v>0</v>
      </c>
      <c r="AR52" s="30">
        <v>0</v>
      </c>
      <c r="AS52" s="30">
        <v>18.36</v>
      </c>
      <c r="AT52" s="30">
        <v>0</v>
      </c>
      <c r="AU52" s="30">
        <v>1.4076000000000002</v>
      </c>
      <c r="AV52" s="30">
        <v>0</v>
      </c>
      <c r="AW52" s="30">
        <v>0</v>
      </c>
      <c r="AX52" s="30">
        <v>2.285321112235629E-2</v>
      </c>
      <c r="AY52" s="30">
        <v>8.3355749655960665</v>
      </c>
      <c r="AZ52" s="30">
        <v>2.6912724520113174E-2</v>
      </c>
      <c r="BA52" s="30">
        <v>10.24530714787381</v>
      </c>
      <c r="BB52" s="30">
        <v>1.182934604369682</v>
      </c>
      <c r="BC52" s="30">
        <v>4.6641665026421766</v>
      </c>
      <c r="BD52" s="30">
        <v>0.6</v>
      </c>
      <c r="BE52" s="30">
        <v>10.096681916710899</v>
      </c>
      <c r="BF52" s="30">
        <v>5.934958025696119</v>
      </c>
      <c r="BG52" s="30">
        <v>16.031639942407018</v>
      </c>
      <c r="BH52" s="30">
        <v>0</v>
      </c>
      <c r="BI52" s="30">
        <v>16.031639942407015</v>
      </c>
    </row>
    <row r="53" spans="1:61" ht="15.75" customHeight="1" x14ac:dyDescent="0.2">
      <c r="A53" s="3" t="s">
        <v>827</v>
      </c>
      <c r="B53" s="3" t="s">
        <v>103</v>
      </c>
      <c r="C53" s="3" t="s">
        <v>826</v>
      </c>
      <c r="D53" s="28" t="s">
        <v>692</v>
      </c>
      <c r="E53" s="28" t="s">
        <v>828</v>
      </c>
      <c r="F53" s="32">
        <v>2000</v>
      </c>
      <c r="G53" s="32">
        <v>237</v>
      </c>
      <c r="H53" s="161">
        <v>52</v>
      </c>
      <c r="I53" s="28">
        <v>30.900000000000002</v>
      </c>
      <c r="J53" s="28">
        <v>22.900000000000002</v>
      </c>
      <c r="K53" s="28">
        <v>41.78343115709324</v>
      </c>
      <c r="L53" s="28">
        <v>23.803341902313623</v>
      </c>
      <c r="M53" s="30">
        <v>4.5671244955976263E-2</v>
      </c>
      <c r="N53" s="30">
        <v>0</v>
      </c>
      <c r="O53" s="30">
        <v>7.4790236420080731</v>
      </c>
      <c r="P53" s="30">
        <v>1</v>
      </c>
      <c r="Q53" s="30">
        <v>0.98875030413821163</v>
      </c>
      <c r="R53" s="30">
        <v>38.039201700805279</v>
      </c>
      <c r="S53" s="30">
        <v>1.901960085040264</v>
      </c>
      <c r="T53" s="30">
        <v>36.137241615765014</v>
      </c>
      <c r="U53" s="30">
        <v>0</v>
      </c>
      <c r="V53" s="32">
        <v>232.49575094922824</v>
      </c>
      <c r="W53" s="32">
        <v>664.27099829879558</v>
      </c>
      <c r="X53" s="32">
        <v>896.76674924802387</v>
      </c>
      <c r="Y53" s="32">
        <v>0</v>
      </c>
      <c r="Z53" s="32">
        <v>896.76674924802387</v>
      </c>
      <c r="AA53" s="32">
        <v>1101.8839974148455</v>
      </c>
      <c r="AB53" s="28">
        <v>0</v>
      </c>
      <c r="AC53" s="28">
        <v>0</v>
      </c>
      <c r="AD53" s="28">
        <v>0</v>
      </c>
      <c r="AE53" s="28">
        <v>6.847739258189681</v>
      </c>
      <c r="AF53" s="28">
        <v>0.29439235242211925</v>
      </c>
      <c r="AG53" s="28">
        <v>8.6550150972576567</v>
      </c>
      <c r="AH53" s="28">
        <v>0</v>
      </c>
      <c r="AI53" s="32">
        <v>103.36407016009237</v>
      </c>
      <c r="AJ53" s="30">
        <v>0.72158978065398127</v>
      </c>
      <c r="AK53" s="32">
        <v>31.599999999999998</v>
      </c>
      <c r="AL53" s="32">
        <v>173.1373552139674</v>
      </c>
      <c r="AM53" s="32">
        <v>4</v>
      </c>
      <c r="AN53" s="32">
        <v>0</v>
      </c>
      <c r="AO53" s="32">
        <v>57.199818545207492</v>
      </c>
      <c r="AP53" s="32">
        <v>173.7233066755191</v>
      </c>
      <c r="AQ53" s="32">
        <v>0</v>
      </c>
      <c r="AR53" s="30">
        <v>0</v>
      </c>
      <c r="AS53" s="30">
        <v>18.36</v>
      </c>
      <c r="AT53" s="30">
        <v>0</v>
      </c>
      <c r="AU53" s="30">
        <v>1.4076000000000002</v>
      </c>
      <c r="AV53" s="30">
        <v>0</v>
      </c>
      <c r="AW53" s="30">
        <v>0</v>
      </c>
      <c r="AX53" s="30">
        <v>6.3345851847637677E-2</v>
      </c>
      <c r="AY53" s="30">
        <v>8.3989208174437042</v>
      </c>
      <c r="AZ53" s="30">
        <v>1.4129088880943859E-2</v>
      </c>
      <c r="BA53" s="30">
        <v>10.259436236754754</v>
      </c>
      <c r="BB53" s="30">
        <v>0.94554868958155591</v>
      </c>
      <c r="BC53" s="30">
        <v>4.1133837728216029</v>
      </c>
      <c r="BD53" s="30">
        <v>0.6</v>
      </c>
      <c r="BE53" s="30">
        <v>10.158338097401467</v>
      </c>
      <c r="BF53" s="30">
        <v>6.4733018450055511</v>
      </c>
      <c r="BG53" s="30">
        <v>16.63163994240702</v>
      </c>
      <c r="BH53" s="30">
        <v>0</v>
      </c>
      <c r="BI53" s="30">
        <v>16.631639942407016</v>
      </c>
    </row>
    <row r="54" spans="1:61" ht="15.75" customHeight="1" x14ac:dyDescent="0.2">
      <c r="A54" s="3" t="s">
        <v>827</v>
      </c>
      <c r="B54" s="3" t="s">
        <v>103</v>
      </c>
      <c r="C54" s="3" t="s">
        <v>826</v>
      </c>
      <c r="D54" s="28" t="s">
        <v>692</v>
      </c>
      <c r="E54" s="28" t="s">
        <v>828</v>
      </c>
      <c r="F54" s="32">
        <v>2000</v>
      </c>
      <c r="G54" s="32">
        <v>238</v>
      </c>
      <c r="H54" s="161">
        <v>53</v>
      </c>
      <c r="I54" s="28">
        <v>28.9</v>
      </c>
      <c r="J54" s="28">
        <v>20.9</v>
      </c>
      <c r="K54" s="28">
        <v>42.587277310939392</v>
      </c>
      <c r="L54" s="28">
        <v>23.803341902313623</v>
      </c>
      <c r="M54" s="30">
        <v>4.1843121870885805E-2</v>
      </c>
      <c r="N54" s="30">
        <v>0</v>
      </c>
      <c r="O54" s="30">
        <v>7.5246948869640491</v>
      </c>
      <c r="P54" s="30">
        <v>1</v>
      </c>
      <c r="Q54" s="30">
        <v>0.98905439126782546</v>
      </c>
      <c r="R54" s="30">
        <v>28.912037965541071</v>
      </c>
      <c r="S54" s="30">
        <v>1.4456018982770535</v>
      </c>
      <c r="T54" s="30">
        <v>27.466436067264016</v>
      </c>
      <c r="U54" s="30">
        <v>0</v>
      </c>
      <c r="V54" s="32">
        <v>233.9413528475053</v>
      </c>
      <c r="W54" s="32">
        <v>691.73743436605957</v>
      </c>
      <c r="X54" s="32">
        <v>925.67878721356499</v>
      </c>
      <c r="Y54" s="32">
        <v>0</v>
      </c>
      <c r="Z54" s="32">
        <v>925.67878721356499</v>
      </c>
      <c r="AA54" s="32">
        <v>1101.8839974148455</v>
      </c>
      <c r="AB54" s="28">
        <v>0</v>
      </c>
      <c r="AC54" s="28">
        <v>0</v>
      </c>
      <c r="AD54" s="28">
        <v>0</v>
      </c>
      <c r="AE54" s="28">
        <v>5.1539986025205424</v>
      </c>
      <c r="AF54" s="28">
        <v>0.27401372052239936</v>
      </c>
      <c r="AG54" s="28">
        <v>8.3289566564321795</v>
      </c>
      <c r="AH54" s="28">
        <v>0</v>
      </c>
      <c r="AI54" s="32">
        <v>95.260185582401462</v>
      </c>
      <c r="AJ54" s="30">
        <v>0.66501615419167037</v>
      </c>
      <c r="AK54" s="32">
        <v>31.599999999999998</v>
      </c>
      <c r="AL54" s="32">
        <v>173.1373552139674</v>
      </c>
      <c r="AM54" s="32">
        <v>4</v>
      </c>
      <c r="AN54" s="32">
        <v>0</v>
      </c>
      <c r="AO54" s="32">
        <v>57.473832265729889</v>
      </c>
      <c r="AP54" s="32">
        <v>182.05226333195128</v>
      </c>
      <c r="AQ54" s="32">
        <v>0</v>
      </c>
      <c r="AR54" s="30">
        <v>0</v>
      </c>
      <c r="AS54" s="30">
        <v>18.36</v>
      </c>
      <c r="AT54" s="30">
        <v>0</v>
      </c>
      <c r="AU54" s="30">
        <v>1.4076000000000002</v>
      </c>
      <c r="AV54" s="30">
        <v>0</v>
      </c>
      <c r="AW54" s="30">
        <v>0</v>
      </c>
      <c r="AX54" s="30">
        <v>0.18001813889518167</v>
      </c>
      <c r="AY54" s="30">
        <v>8.5789389563388863</v>
      </c>
      <c r="AZ54" s="30">
        <v>0</v>
      </c>
      <c r="BA54" s="30">
        <v>10.259436236754754</v>
      </c>
      <c r="BB54" s="30">
        <v>0.77912608053754384</v>
      </c>
      <c r="BC54" s="30">
        <v>3.6934025462683113</v>
      </c>
      <c r="BD54" s="30">
        <v>0.6</v>
      </c>
      <c r="BE54" s="30">
        <v>10.214826311927164</v>
      </c>
      <c r="BF54" s="30">
        <v>7.016813630479855</v>
      </c>
      <c r="BG54" s="30">
        <v>17.231639942407018</v>
      </c>
      <c r="BH54" s="30">
        <v>0</v>
      </c>
      <c r="BI54" s="30">
        <v>17.231639942407018</v>
      </c>
    </row>
    <row r="55" spans="1:61" ht="15.75" customHeight="1" x14ac:dyDescent="0.2">
      <c r="A55" s="3" t="s">
        <v>827</v>
      </c>
      <c r="B55" s="3" t="s">
        <v>103</v>
      </c>
      <c r="C55" s="3" t="s">
        <v>826</v>
      </c>
      <c r="D55" s="28" t="s">
        <v>692</v>
      </c>
      <c r="E55" s="28" t="s">
        <v>828</v>
      </c>
      <c r="F55" s="32">
        <v>2000</v>
      </c>
      <c r="G55" s="32">
        <v>239</v>
      </c>
      <c r="H55" s="161">
        <v>54</v>
      </c>
      <c r="I55" s="28">
        <v>31</v>
      </c>
      <c r="J55" s="28">
        <v>23</v>
      </c>
      <c r="K55" s="28">
        <v>43.471892695554779</v>
      </c>
      <c r="L55" s="28">
        <v>23.803341902313623</v>
      </c>
      <c r="M55" s="30">
        <v>0</v>
      </c>
      <c r="N55" s="30">
        <v>0</v>
      </c>
      <c r="O55" s="30">
        <v>7.566538008834935</v>
      </c>
      <c r="P55" s="30">
        <v>1</v>
      </c>
      <c r="Q55" s="30">
        <v>0.98932576948426809</v>
      </c>
      <c r="R55" s="30">
        <v>39.72340829633233</v>
      </c>
      <c r="S55" s="30">
        <v>0</v>
      </c>
      <c r="T55" s="30">
        <v>25.24237536368387</v>
      </c>
      <c r="U55" s="30">
        <v>14.481032932648459</v>
      </c>
      <c r="V55" s="32">
        <v>233.9413528475053</v>
      </c>
      <c r="W55" s="32">
        <v>716.97980972974347</v>
      </c>
      <c r="X55" s="32">
        <v>950.92116257724888</v>
      </c>
      <c r="Y55" s="32">
        <v>14.481032932648459</v>
      </c>
      <c r="Z55" s="32">
        <v>965.4021955098973</v>
      </c>
      <c r="AA55" s="32">
        <v>1101.8839974148455</v>
      </c>
      <c r="AB55" s="28">
        <v>0</v>
      </c>
      <c r="AC55" s="28">
        <v>0</v>
      </c>
      <c r="AD55" s="28">
        <v>0</v>
      </c>
      <c r="AE55" s="28">
        <v>6.4234442803544569</v>
      </c>
      <c r="AF55" s="28">
        <v>0.25735931288071456</v>
      </c>
      <c r="AG55" s="28">
        <v>5.4317998936655094</v>
      </c>
      <c r="AH55" s="28">
        <v>0</v>
      </c>
      <c r="AI55" s="32">
        <v>89.896509422915742</v>
      </c>
      <c r="AJ55" s="30">
        <v>0.62757206073223348</v>
      </c>
      <c r="AK55" s="32">
        <v>31.599999999999998</v>
      </c>
      <c r="AL55" s="32">
        <v>173.1373552139674</v>
      </c>
      <c r="AM55" s="32">
        <v>4</v>
      </c>
      <c r="AN55" s="32">
        <v>0</v>
      </c>
      <c r="AO55" s="32">
        <v>57.731191578610606</v>
      </c>
      <c r="AP55" s="32">
        <v>187.48406322561678</v>
      </c>
      <c r="AQ55" s="32">
        <v>0</v>
      </c>
      <c r="AR55" s="30">
        <v>0</v>
      </c>
      <c r="AS55" s="30">
        <v>18.36</v>
      </c>
      <c r="AT55" s="30">
        <v>0</v>
      </c>
      <c r="AU55" s="30">
        <v>1.4076000000000002</v>
      </c>
      <c r="AV55" s="30">
        <v>0</v>
      </c>
      <c r="AW55" s="30">
        <v>0</v>
      </c>
      <c r="AX55" s="30">
        <v>0.28465521779651676</v>
      </c>
      <c r="AY55" s="30">
        <v>8.8635941741354038</v>
      </c>
      <c r="AZ55" s="30">
        <v>0</v>
      </c>
      <c r="BA55" s="30">
        <v>10.259436236754754</v>
      </c>
      <c r="BB55" s="30">
        <v>0.731445778712427</v>
      </c>
      <c r="BC55" s="30">
        <v>3.5511977708208873</v>
      </c>
      <c r="BD55" s="30">
        <v>0.42686054111418203</v>
      </c>
      <c r="BE55" s="30">
        <v>10.214826311927164</v>
      </c>
      <c r="BF55" s="30">
        <v>7.2843828093349039</v>
      </c>
      <c r="BG55" s="30">
        <v>17.499209121262069</v>
      </c>
      <c r="BH55" s="30">
        <v>0.15929136225913304</v>
      </c>
      <c r="BI55" s="30">
        <v>17.658500483521198</v>
      </c>
    </row>
    <row r="56" spans="1:61" ht="15.75" customHeight="1" x14ac:dyDescent="0.2">
      <c r="A56" s="3" t="s">
        <v>827</v>
      </c>
      <c r="B56" s="3" t="s">
        <v>103</v>
      </c>
      <c r="C56" s="3" t="s">
        <v>826</v>
      </c>
      <c r="D56" s="28" t="s">
        <v>692</v>
      </c>
      <c r="E56" s="28" t="s">
        <v>828</v>
      </c>
      <c r="F56" s="32">
        <v>2000</v>
      </c>
      <c r="G56" s="32">
        <v>240</v>
      </c>
      <c r="H56" s="161">
        <v>55</v>
      </c>
      <c r="I56" s="28">
        <v>31.1</v>
      </c>
      <c r="J56" s="28">
        <v>23.1</v>
      </c>
      <c r="K56" s="28">
        <v>44.36035423401632</v>
      </c>
      <c r="L56" s="28">
        <v>23.803341902313623</v>
      </c>
      <c r="M56" s="30">
        <v>0</v>
      </c>
      <c r="N56" s="30">
        <v>0</v>
      </c>
      <c r="O56" s="30">
        <v>7.566538008834935</v>
      </c>
      <c r="P56" s="30">
        <v>1</v>
      </c>
      <c r="Q56" s="30">
        <v>0.98932576948426809</v>
      </c>
      <c r="R56" s="30">
        <v>41.21926885979255</v>
      </c>
      <c r="S56" s="30">
        <v>0</v>
      </c>
      <c r="T56" s="30">
        <v>25.501657861350314</v>
      </c>
      <c r="U56" s="30">
        <v>15.717610998442236</v>
      </c>
      <c r="V56" s="32">
        <v>233.9413528475053</v>
      </c>
      <c r="W56" s="32">
        <v>742.48146759109375</v>
      </c>
      <c r="X56" s="32">
        <v>976.42282043859927</v>
      </c>
      <c r="Y56" s="32">
        <v>30.198643931090693</v>
      </c>
      <c r="Z56" s="32">
        <v>1006.62146436969</v>
      </c>
      <c r="AA56" s="32">
        <v>1101.8839974148455</v>
      </c>
      <c r="AB56" s="28">
        <v>0</v>
      </c>
      <c r="AC56" s="28">
        <v>0</v>
      </c>
      <c r="AD56" s="28">
        <v>0</v>
      </c>
      <c r="AE56" s="28">
        <v>7.3710251701452005</v>
      </c>
      <c r="AF56" s="28">
        <v>0.24341649025256928</v>
      </c>
      <c r="AG56" s="28">
        <v>8.8554320887946485</v>
      </c>
      <c r="AH56" s="28">
        <v>0</v>
      </c>
      <c r="AI56" s="32">
        <v>81.328293981267308</v>
      </c>
      <c r="AJ56" s="30">
        <v>0.56775691711841103</v>
      </c>
      <c r="AK56" s="32">
        <v>31.599999999999998</v>
      </c>
      <c r="AL56" s="32">
        <v>173.1373552139674</v>
      </c>
      <c r="AM56" s="32">
        <v>4</v>
      </c>
      <c r="AN56" s="32">
        <v>0</v>
      </c>
      <c r="AO56" s="32">
        <v>57.974608068863176</v>
      </c>
      <c r="AP56" s="32">
        <v>196.33949531441144</v>
      </c>
      <c r="AQ56" s="32">
        <v>0</v>
      </c>
      <c r="AR56" s="30">
        <v>0</v>
      </c>
      <c r="AS56" s="30">
        <v>18.36</v>
      </c>
      <c r="AT56" s="30">
        <v>0</v>
      </c>
      <c r="AU56" s="30">
        <v>1.4076000000000002</v>
      </c>
      <c r="AV56" s="30">
        <v>0</v>
      </c>
      <c r="AW56" s="30">
        <v>0</v>
      </c>
      <c r="AX56" s="30">
        <v>0.34030411600474791</v>
      </c>
      <c r="AY56" s="30">
        <v>9.2038982901401525</v>
      </c>
      <c r="AZ56" s="30">
        <v>0</v>
      </c>
      <c r="BA56" s="30">
        <v>10.259436236754754</v>
      </c>
      <c r="BB56" s="30">
        <v>0.67579506115823962</v>
      </c>
      <c r="BC56" s="30">
        <v>3.4482911984503151</v>
      </c>
      <c r="BD56" s="30">
        <v>0.44321129431317791</v>
      </c>
      <c r="BE56" s="30">
        <v>10.214826311927164</v>
      </c>
      <c r="BF56" s="30">
        <v>7.5547003826652173</v>
      </c>
      <c r="BG56" s="30">
        <v>17.769526694592379</v>
      </c>
      <c r="BH56" s="30">
        <v>0.33218508324199764</v>
      </c>
      <c r="BI56" s="30">
        <v>18.101711777834375</v>
      </c>
    </row>
    <row r="57" spans="1:61" ht="15.75" customHeight="1" x14ac:dyDescent="0.2">
      <c r="A57" s="3" t="s">
        <v>827</v>
      </c>
      <c r="B57" s="3" t="s">
        <v>103</v>
      </c>
      <c r="C57" s="3" t="s">
        <v>826</v>
      </c>
      <c r="D57" s="28" t="s">
        <v>692</v>
      </c>
      <c r="E57" s="28" t="s">
        <v>828</v>
      </c>
      <c r="F57" s="32">
        <v>2000</v>
      </c>
      <c r="G57" s="32">
        <v>241</v>
      </c>
      <c r="H57" s="161">
        <v>56</v>
      </c>
      <c r="I57" s="28">
        <v>29.2</v>
      </c>
      <c r="J57" s="28">
        <v>21.2</v>
      </c>
      <c r="K57" s="28">
        <v>45.175738849400936</v>
      </c>
      <c r="L57" s="28">
        <v>23.803341902313623</v>
      </c>
      <c r="M57" s="30">
        <v>0</v>
      </c>
      <c r="N57" s="30">
        <v>0</v>
      </c>
      <c r="O57" s="30">
        <v>7.566538008834935</v>
      </c>
      <c r="P57" s="30">
        <v>1</v>
      </c>
      <c r="Q57" s="30">
        <v>0.98932576948426809</v>
      </c>
      <c r="R57" s="30">
        <v>35.900653523045122</v>
      </c>
      <c r="S57" s="30">
        <v>0</v>
      </c>
      <c r="T57" s="30">
        <v>19.18580214896274</v>
      </c>
      <c r="U57" s="30">
        <v>16.714851374082382</v>
      </c>
      <c r="V57" s="32">
        <v>233.9413528475053</v>
      </c>
      <c r="W57" s="32">
        <v>761.66726974005644</v>
      </c>
      <c r="X57" s="32">
        <v>995.60862258756197</v>
      </c>
      <c r="Y57" s="32">
        <v>46.913495305173072</v>
      </c>
      <c r="Z57" s="32">
        <v>1042.522117892735</v>
      </c>
      <c r="AA57" s="32">
        <v>1101.8839974148455</v>
      </c>
      <c r="AB57" s="28">
        <v>0</v>
      </c>
      <c r="AC57" s="28">
        <v>0</v>
      </c>
      <c r="AD57" s="28">
        <v>0</v>
      </c>
      <c r="AE57" s="28">
        <v>5.5607614839725032</v>
      </c>
      <c r="AF57" s="28">
        <v>0.23152069528053043</v>
      </c>
      <c r="AG57" s="28">
        <v>6.1694309596680705</v>
      </c>
      <c r="AH57" s="28">
        <v>0</v>
      </c>
      <c r="AI57" s="32">
        <v>75.318985674872067</v>
      </c>
      <c r="AJ57" s="30">
        <v>0.52580563311829565</v>
      </c>
      <c r="AK57" s="32">
        <v>31.599999999999998</v>
      </c>
      <c r="AL57" s="32">
        <v>173.1373552139674</v>
      </c>
      <c r="AM57" s="32">
        <v>4</v>
      </c>
      <c r="AN57" s="32">
        <v>0</v>
      </c>
      <c r="AO57" s="32">
        <v>58.206128764143706</v>
      </c>
      <c r="AP57" s="32">
        <v>202.5089262740795</v>
      </c>
      <c r="AQ57" s="32">
        <v>0</v>
      </c>
      <c r="AR57" s="30">
        <v>0</v>
      </c>
      <c r="AS57" s="30">
        <v>18.36</v>
      </c>
      <c r="AT57" s="30">
        <v>0</v>
      </c>
      <c r="AU57" s="30">
        <v>1.4076000000000002</v>
      </c>
      <c r="AV57" s="30">
        <v>0</v>
      </c>
      <c r="AW57" s="30">
        <v>0</v>
      </c>
      <c r="AX57" s="30">
        <v>0.27696553261661738</v>
      </c>
      <c r="AY57" s="30">
        <v>9.4808638227567705</v>
      </c>
      <c r="AZ57" s="30">
        <v>0</v>
      </c>
      <c r="BA57" s="30">
        <v>10.259436236754754</v>
      </c>
      <c r="BB57" s="30">
        <v>0.62480430163033729</v>
      </c>
      <c r="BC57" s="30">
        <v>3.3380244361755738</v>
      </c>
      <c r="BD57" s="30">
        <v>0.3872328678939112</v>
      </c>
      <c r="BE57" s="30">
        <v>10.214826311927164</v>
      </c>
      <c r="BF57" s="30">
        <v>7.7580698854442218</v>
      </c>
      <c r="BG57" s="30">
        <v>17.972896197371384</v>
      </c>
      <c r="BH57" s="30">
        <v>0.51604844835690389</v>
      </c>
      <c r="BI57" s="30">
        <v>18.488944645728285</v>
      </c>
    </row>
    <row r="58" spans="1:61" ht="15.75" customHeight="1" x14ac:dyDescent="0.2">
      <c r="A58" s="3" t="s">
        <v>827</v>
      </c>
      <c r="B58" s="3" t="s">
        <v>103</v>
      </c>
      <c r="C58" s="3" t="s">
        <v>826</v>
      </c>
      <c r="D58" s="28" t="s">
        <v>692</v>
      </c>
      <c r="E58" s="28" t="s">
        <v>828</v>
      </c>
      <c r="F58" s="32">
        <v>2000</v>
      </c>
      <c r="G58" s="32">
        <v>242</v>
      </c>
      <c r="H58" s="161">
        <v>57</v>
      </c>
      <c r="I58" s="28">
        <v>29.05</v>
      </c>
      <c r="J58" s="28">
        <v>21.05</v>
      </c>
      <c r="K58" s="28">
        <v>45.98535423401632</v>
      </c>
      <c r="L58" s="28">
        <v>23.803341902313623</v>
      </c>
      <c r="M58" s="30">
        <v>0</v>
      </c>
      <c r="N58" s="30">
        <v>0</v>
      </c>
      <c r="O58" s="30">
        <v>7.566538008834935</v>
      </c>
      <c r="P58" s="30">
        <v>1</v>
      </c>
      <c r="Q58" s="30">
        <v>0.98932576948426809</v>
      </c>
      <c r="R58" s="30">
        <v>31.579278561937837</v>
      </c>
      <c r="S58" s="30">
        <v>0</v>
      </c>
      <c r="T58" s="30">
        <v>14.04669007983054</v>
      </c>
      <c r="U58" s="30">
        <v>17.532588482107297</v>
      </c>
      <c r="V58" s="32">
        <v>233.9413528475053</v>
      </c>
      <c r="W58" s="32">
        <v>775.71395981988701</v>
      </c>
      <c r="X58" s="32">
        <v>1009.6553126673925</v>
      </c>
      <c r="Y58" s="32">
        <v>64.446083787280372</v>
      </c>
      <c r="Z58" s="32">
        <v>1074.1013964546728</v>
      </c>
      <c r="AA58" s="32">
        <v>1101.8839974148455</v>
      </c>
      <c r="AB58" s="28">
        <v>0</v>
      </c>
      <c r="AC58" s="28">
        <v>0</v>
      </c>
      <c r="AD58" s="28">
        <v>0</v>
      </c>
      <c r="AE58" s="28">
        <v>4.7635164798973921</v>
      </c>
      <c r="AF58" s="28">
        <v>0.22121523717353186</v>
      </c>
      <c r="AG58" s="28">
        <v>3.5545807498462469</v>
      </c>
      <c r="AH58" s="28">
        <v>0</v>
      </c>
      <c r="AI58" s="32">
        <v>71.778682745672285</v>
      </c>
      <c r="AJ58" s="30">
        <v>0.50109060003017103</v>
      </c>
      <c r="AK58" s="32">
        <v>31.599999999999998</v>
      </c>
      <c r="AL58" s="32">
        <v>173.1373552139674</v>
      </c>
      <c r="AM58" s="32">
        <v>4</v>
      </c>
      <c r="AN58" s="32">
        <v>0</v>
      </c>
      <c r="AO58" s="32">
        <v>58.427344001317238</v>
      </c>
      <c r="AP58" s="32">
        <v>206.06350702392575</v>
      </c>
      <c r="AQ58" s="32">
        <v>0</v>
      </c>
      <c r="AR58" s="30">
        <v>0</v>
      </c>
      <c r="AS58" s="30">
        <v>18.36</v>
      </c>
      <c r="AT58" s="30">
        <v>0</v>
      </c>
      <c r="AU58" s="30">
        <v>1.4076000000000002</v>
      </c>
      <c r="AV58" s="30">
        <v>0</v>
      </c>
      <c r="AW58" s="30">
        <v>0</v>
      </c>
      <c r="AX58" s="30">
        <v>0.26094242980121179</v>
      </c>
      <c r="AY58" s="30">
        <v>9.741806252557982</v>
      </c>
      <c r="AZ58" s="30">
        <v>0</v>
      </c>
      <c r="BA58" s="30">
        <v>10.259436236754754</v>
      </c>
      <c r="BB58" s="30">
        <v>0.59582335840551681</v>
      </c>
      <c r="BC58" s="30">
        <v>3.2572140248032153</v>
      </c>
      <c r="BD58" s="30">
        <v>0.341753388149384</v>
      </c>
      <c r="BE58" s="30">
        <v>10.214826311927164</v>
      </c>
      <c r="BF58" s="30">
        <v>7.9069648002904254</v>
      </c>
      <c r="BG58" s="30">
        <v>18.12179111221759</v>
      </c>
      <c r="BH58" s="30">
        <v>0.70890692166008418</v>
      </c>
      <c r="BI58" s="30">
        <v>18.83069803387767</v>
      </c>
    </row>
    <row r="59" spans="1:61" ht="15.75" customHeight="1" x14ac:dyDescent="0.2">
      <c r="A59" s="3" t="s">
        <v>827</v>
      </c>
      <c r="B59" s="3" t="s">
        <v>103</v>
      </c>
      <c r="C59" s="3" t="s">
        <v>826</v>
      </c>
      <c r="D59" s="28" t="s">
        <v>692</v>
      </c>
      <c r="E59" s="28" t="s">
        <v>828</v>
      </c>
      <c r="F59" s="32">
        <v>2000</v>
      </c>
      <c r="G59" s="32">
        <v>243</v>
      </c>
      <c r="H59" s="161">
        <v>58</v>
      </c>
      <c r="I59" s="28">
        <v>30.6</v>
      </c>
      <c r="J59" s="28">
        <v>22.6</v>
      </c>
      <c r="K59" s="28">
        <v>46.854585003247088</v>
      </c>
      <c r="L59" s="28">
        <v>23.803341902313623</v>
      </c>
      <c r="M59" s="30">
        <v>0</v>
      </c>
      <c r="N59" s="30">
        <v>0</v>
      </c>
      <c r="O59" s="30">
        <v>7.566538008834935</v>
      </c>
      <c r="P59" s="30">
        <v>1</v>
      </c>
      <c r="Q59" s="30">
        <v>0.98932576948426809</v>
      </c>
      <c r="R59" s="30">
        <v>36.233066981591833</v>
      </c>
      <c r="S59" s="30">
        <v>0</v>
      </c>
      <c r="T59" s="30">
        <v>17.404066011152352</v>
      </c>
      <c r="U59" s="30">
        <v>18.829000970439481</v>
      </c>
      <c r="V59" s="32">
        <v>233.9413528475053</v>
      </c>
      <c r="W59" s="32">
        <v>793.1180258310394</v>
      </c>
      <c r="X59" s="32">
        <v>1027.059378678545</v>
      </c>
      <c r="Y59" s="32">
        <v>83.275084757719853</v>
      </c>
      <c r="Z59" s="32">
        <v>1110.334463436265</v>
      </c>
      <c r="AA59" s="32">
        <v>1101.8839974148455</v>
      </c>
      <c r="AB59" s="28">
        <v>0</v>
      </c>
      <c r="AC59" s="28">
        <v>0</v>
      </c>
      <c r="AD59" s="28">
        <v>0</v>
      </c>
      <c r="AE59" s="28">
        <v>5.9382823855066533</v>
      </c>
      <c r="AF59" s="28">
        <v>0.21217449048935211</v>
      </c>
      <c r="AG59" s="28">
        <v>5.8936191342669764</v>
      </c>
      <c r="AH59" s="28">
        <v>0</v>
      </c>
      <c r="AI59" s="32">
        <v>66.070903807671058</v>
      </c>
      <c r="AJ59" s="30">
        <v>0.46124430774006836</v>
      </c>
      <c r="AK59" s="32">
        <v>31.599999999999998</v>
      </c>
      <c r="AL59" s="32">
        <v>173.1373552139674</v>
      </c>
      <c r="AM59" s="32">
        <v>4</v>
      </c>
      <c r="AN59" s="32">
        <v>0</v>
      </c>
      <c r="AO59" s="32">
        <v>58.639518491806591</v>
      </c>
      <c r="AP59" s="32">
        <v>211.95712615819272</v>
      </c>
      <c r="AQ59" s="32">
        <v>0</v>
      </c>
      <c r="AR59" s="30">
        <v>0</v>
      </c>
      <c r="AS59" s="30">
        <v>18.36</v>
      </c>
      <c r="AT59" s="30">
        <v>0</v>
      </c>
      <c r="AU59" s="30">
        <v>1.4076000000000002</v>
      </c>
      <c r="AV59" s="30">
        <v>0</v>
      </c>
      <c r="AW59" s="30">
        <v>0</v>
      </c>
      <c r="AX59" s="30">
        <v>0.26859043106315994</v>
      </c>
      <c r="AY59" s="30">
        <v>10.010396683621142</v>
      </c>
      <c r="AZ59" s="30">
        <v>0</v>
      </c>
      <c r="BA59" s="30">
        <v>10.259436236754754</v>
      </c>
      <c r="BB59" s="30">
        <v>0.53915095683522207</v>
      </c>
      <c r="BC59" s="30">
        <v>3.1342030027175372</v>
      </c>
      <c r="BD59" s="30">
        <v>0.39160211039304921</v>
      </c>
      <c r="BE59" s="30">
        <v>10.214826311927164</v>
      </c>
      <c r="BF59" s="30">
        <v>8.0914479000086406</v>
      </c>
      <c r="BG59" s="30">
        <v>18.306274211935804</v>
      </c>
      <c r="BH59" s="30">
        <v>0.91602593233491847</v>
      </c>
      <c r="BI59" s="30">
        <v>19.222300144270719</v>
      </c>
    </row>
    <row r="60" spans="1:61" ht="15.75" customHeight="1" x14ac:dyDescent="0.2">
      <c r="A60" s="3" t="s">
        <v>827</v>
      </c>
      <c r="B60" s="3" t="s">
        <v>103</v>
      </c>
      <c r="C60" s="3" t="s">
        <v>826</v>
      </c>
      <c r="D60" s="28" t="s">
        <v>692</v>
      </c>
      <c r="E60" s="28" t="s">
        <v>828</v>
      </c>
      <c r="F60" s="32">
        <v>2000</v>
      </c>
      <c r="G60" s="32">
        <v>244</v>
      </c>
      <c r="H60" s="161">
        <v>59</v>
      </c>
      <c r="I60" s="28">
        <v>29.4</v>
      </c>
      <c r="J60" s="28">
        <v>21.4</v>
      </c>
      <c r="K60" s="28">
        <v>47.677661926324014</v>
      </c>
      <c r="L60" s="28">
        <v>23.803341902313623</v>
      </c>
      <c r="M60" s="30">
        <v>0</v>
      </c>
      <c r="N60" s="30">
        <v>0</v>
      </c>
      <c r="O60" s="30">
        <v>7.566538008834935</v>
      </c>
      <c r="P60" s="30">
        <v>1</v>
      </c>
      <c r="Q60" s="30">
        <v>0.98932576948426809</v>
      </c>
      <c r="R60" s="30">
        <v>34.40479295958491</v>
      </c>
      <c r="S60" s="30">
        <v>0</v>
      </c>
      <c r="T60" s="30">
        <v>14.653344641678292</v>
      </c>
      <c r="U60" s="30">
        <v>19.751448317906618</v>
      </c>
      <c r="V60" s="32">
        <v>233.9413528475053</v>
      </c>
      <c r="W60" s="32">
        <v>807.77137047271765</v>
      </c>
      <c r="X60" s="32">
        <v>1041.7127233202234</v>
      </c>
      <c r="Y60" s="32">
        <v>103.02653307562647</v>
      </c>
      <c r="Z60" s="32">
        <v>1144.7392563958499</v>
      </c>
      <c r="AA60" s="32">
        <v>1101.8839974148455</v>
      </c>
      <c r="AB60" s="28">
        <v>0</v>
      </c>
      <c r="AC60" s="28">
        <v>77.174015856258862</v>
      </c>
      <c r="AD60" s="28">
        <v>0</v>
      </c>
      <c r="AE60" s="28">
        <v>5.2197651203245288</v>
      </c>
      <c r="AF60" s="28">
        <v>0.62132034355964272</v>
      </c>
      <c r="AG60" s="28">
        <v>3.8835666355373437</v>
      </c>
      <c r="AH60" s="28">
        <v>0</v>
      </c>
      <c r="AI60" s="32">
        <v>138.98383578529345</v>
      </c>
      <c r="AJ60" s="30">
        <v>0.97025315879520546</v>
      </c>
      <c r="AK60" s="32">
        <v>31.599999999999998</v>
      </c>
      <c r="AL60" s="32">
        <v>250.31137107022624</v>
      </c>
      <c r="AM60" s="32">
        <v>5</v>
      </c>
      <c r="AN60" s="32">
        <v>0</v>
      </c>
      <c r="AO60" s="32">
        <v>59.260838835366236</v>
      </c>
      <c r="AP60" s="32">
        <v>215.84069279373006</v>
      </c>
      <c r="AQ60" s="32">
        <v>0</v>
      </c>
      <c r="AR60" s="30">
        <v>0</v>
      </c>
      <c r="AS60" s="30">
        <v>18.36</v>
      </c>
      <c r="AT60" s="30">
        <v>0</v>
      </c>
      <c r="AU60" s="30">
        <v>1.4076000000000002</v>
      </c>
      <c r="AV60" s="30">
        <v>0</v>
      </c>
      <c r="AW60" s="30">
        <v>0</v>
      </c>
      <c r="AX60" s="30">
        <v>8.4523022761406816E-3</v>
      </c>
      <c r="AY60" s="30">
        <v>10.018848985897282</v>
      </c>
      <c r="AZ60" s="30">
        <v>9.6660449109777669E-2</v>
      </c>
      <c r="BA60" s="30">
        <v>10.35609668586453</v>
      </c>
      <c r="BB60" s="30">
        <v>0.45169833172880242</v>
      </c>
      <c r="BC60" s="30">
        <v>2.6734041622544735</v>
      </c>
      <c r="BD60" s="30">
        <v>0.37259138469876268</v>
      </c>
      <c r="BE60" s="30">
        <v>10.214826311927164</v>
      </c>
      <c r="BF60" s="30">
        <v>8.2467733532104308</v>
      </c>
      <c r="BG60" s="30">
        <v>18.461599665137594</v>
      </c>
      <c r="BH60" s="30">
        <v>1.1332918638318912</v>
      </c>
      <c r="BI60" s="30">
        <v>19.59489152896948</v>
      </c>
    </row>
    <row r="61" spans="1:61" ht="15.75" customHeight="1" x14ac:dyDescent="0.2">
      <c r="A61" s="3" t="s">
        <v>827</v>
      </c>
      <c r="B61" s="3" t="s">
        <v>103</v>
      </c>
      <c r="C61" s="3" t="s">
        <v>826</v>
      </c>
      <c r="D61" s="28" t="s">
        <v>692</v>
      </c>
      <c r="E61" s="28" t="s">
        <v>828</v>
      </c>
      <c r="F61" s="32">
        <v>2000</v>
      </c>
      <c r="G61" s="32">
        <v>245</v>
      </c>
      <c r="H61" s="161">
        <v>60</v>
      </c>
      <c r="I61" s="28">
        <v>28.1</v>
      </c>
      <c r="J61" s="28">
        <v>20.100000000000001</v>
      </c>
      <c r="K61" s="28">
        <v>48.450738849400935</v>
      </c>
      <c r="L61" s="28">
        <v>23.803341902313623</v>
      </c>
      <c r="M61" s="30">
        <v>0</v>
      </c>
      <c r="N61" s="30">
        <v>0</v>
      </c>
      <c r="O61" s="30">
        <v>7.566538008834935</v>
      </c>
      <c r="P61" s="30">
        <v>1</v>
      </c>
      <c r="Q61" s="30">
        <v>0.98932576948426809</v>
      </c>
      <c r="R61" s="30">
        <v>27.257903600830552</v>
      </c>
      <c r="S61" s="30">
        <v>0</v>
      </c>
      <c r="T61" s="30">
        <v>7.224734876805595</v>
      </c>
      <c r="U61" s="30">
        <v>20.033168724024957</v>
      </c>
      <c r="V61" s="32">
        <v>233.9413528475053</v>
      </c>
      <c r="W61" s="32">
        <v>814.99610534952319</v>
      </c>
      <c r="X61" s="32">
        <v>1048.9374581970289</v>
      </c>
      <c r="Y61" s="32">
        <v>123.05970179965144</v>
      </c>
      <c r="Z61" s="32">
        <v>1171.9971599966805</v>
      </c>
      <c r="AA61" s="32">
        <v>1101.8839974148455</v>
      </c>
      <c r="AB61" s="28">
        <v>5</v>
      </c>
      <c r="AC61" s="28">
        <v>0</v>
      </c>
      <c r="AD61" s="28">
        <v>0</v>
      </c>
      <c r="AE61" s="28">
        <v>4.0290695309924738</v>
      </c>
      <c r="AF61" s="28">
        <v>0.47675586779367307</v>
      </c>
      <c r="AG61" s="28">
        <v>1.9452376024110078</v>
      </c>
      <c r="AH61" s="28">
        <v>0</v>
      </c>
      <c r="AI61" s="32">
        <v>141.67162902230791</v>
      </c>
      <c r="AJ61" s="30">
        <v>0.98901677877782235</v>
      </c>
      <c r="AK61" s="32">
        <v>36.599999999999994</v>
      </c>
      <c r="AL61" s="32">
        <v>250.31137107022624</v>
      </c>
      <c r="AM61" s="32">
        <v>5</v>
      </c>
      <c r="AN61" s="32">
        <v>0</v>
      </c>
      <c r="AO61" s="32">
        <v>59.737594703159907</v>
      </c>
      <c r="AP61" s="32">
        <v>217.78593039614105</v>
      </c>
      <c r="AQ61" s="32">
        <v>0</v>
      </c>
      <c r="AR61" s="30">
        <v>0</v>
      </c>
      <c r="AS61" s="30">
        <v>18.36</v>
      </c>
      <c r="AT61" s="30">
        <v>0</v>
      </c>
      <c r="AU61" s="30">
        <v>1.4076000000000002</v>
      </c>
      <c r="AV61" s="30">
        <v>0</v>
      </c>
      <c r="AW61" s="30">
        <v>0</v>
      </c>
      <c r="AX61" s="30">
        <v>1.4612689237578103E-2</v>
      </c>
      <c r="AY61" s="30">
        <v>10.033461675134861</v>
      </c>
      <c r="AZ61" s="30">
        <v>2.2616669436974112E-2</v>
      </c>
      <c r="BA61" s="30">
        <v>10.378713355301505</v>
      </c>
      <c r="BB61" s="30">
        <v>0.41004226378128111</v>
      </c>
      <c r="BC61" s="30">
        <v>2.3684537937964532</v>
      </c>
      <c r="BD61" s="30">
        <v>0.29694704565841384</v>
      </c>
      <c r="BE61" s="30">
        <v>10.214826311927164</v>
      </c>
      <c r="BF61" s="30">
        <v>8.3233555429045705</v>
      </c>
      <c r="BG61" s="30">
        <v>18.538181854831734</v>
      </c>
      <c r="BH61" s="30">
        <v>1.3536567197961658</v>
      </c>
      <c r="BI61" s="30">
        <v>19.891838574627894</v>
      </c>
    </row>
    <row r="62" spans="1:61" ht="15.75" customHeight="1" x14ac:dyDescent="0.2">
      <c r="A62" s="3" t="s">
        <v>827</v>
      </c>
      <c r="B62" s="3" t="s">
        <v>103</v>
      </c>
      <c r="C62" s="3" t="s">
        <v>826</v>
      </c>
      <c r="D62" s="28" t="s">
        <v>692</v>
      </c>
      <c r="E62" s="28" t="s">
        <v>828</v>
      </c>
      <c r="F62" s="32">
        <v>2000</v>
      </c>
      <c r="G62" s="32">
        <v>246</v>
      </c>
      <c r="H62" s="161">
        <v>61</v>
      </c>
      <c r="I62" s="28">
        <v>23.9</v>
      </c>
      <c r="J62" s="28">
        <v>15.899999999999999</v>
      </c>
      <c r="K62" s="28">
        <v>49.062277310939393</v>
      </c>
      <c r="L62" s="28">
        <v>23.803341902313623</v>
      </c>
      <c r="M62" s="30">
        <v>0</v>
      </c>
      <c r="N62" s="30">
        <v>0</v>
      </c>
      <c r="O62" s="30">
        <v>7.566538008834935</v>
      </c>
      <c r="P62" s="30">
        <v>0.92666666666666653</v>
      </c>
      <c r="Q62" s="30">
        <v>0.98932576948426809</v>
      </c>
      <c r="R62" s="30">
        <v>25.567027141689596</v>
      </c>
      <c r="S62" s="30">
        <v>0</v>
      </c>
      <c r="T62" s="30">
        <v>4.9190264847366372</v>
      </c>
      <c r="U62" s="30">
        <v>20.648000656952959</v>
      </c>
      <c r="V62" s="32">
        <v>233.9413528475053</v>
      </c>
      <c r="W62" s="32">
        <v>819.9151318342598</v>
      </c>
      <c r="X62" s="32">
        <v>1053.8564846817656</v>
      </c>
      <c r="Y62" s="32">
        <v>143.70770245660441</v>
      </c>
      <c r="Z62" s="32">
        <v>1197.56418713837</v>
      </c>
      <c r="AA62" s="32">
        <v>1101.8839974148455</v>
      </c>
      <c r="AB62" s="28">
        <v>33</v>
      </c>
      <c r="AC62" s="28">
        <v>0</v>
      </c>
      <c r="AD62" s="28">
        <v>0</v>
      </c>
      <c r="AE62" s="28">
        <v>3.800467177478053</v>
      </c>
      <c r="AF62" s="28">
        <v>1.5</v>
      </c>
      <c r="AG62" s="28">
        <v>2.3720473763116869</v>
      </c>
      <c r="AH62" s="28">
        <v>0</v>
      </c>
      <c r="AI62" s="32">
        <v>170.91272013524645</v>
      </c>
      <c r="AJ62" s="30">
        <v>1.1931503088293014</v>
      </c>
      <c r="AK62" s="32">
        <v>69.599999999999994</v>
      </c>
      <c r="AL62" s="32">
        <v>250.31137107022624</v>
      </c>
      <c r="AM62" s="32">
        <v>5</v>
      </c>
      <c r="AN62" s="32">
        <v>0</v>
      </c>
      <c r="AO62" s="32">
        <v>61.237594703159907</v>
      </c>
      <c r="AP62" s="32">
        <v>220.15797777245274</v>
      </c>
      <c r="AQ62" s="32">
        <v>0</v>
      </c>
      <c r="AR62" s="30">
        <v>0</v>
      </c>
      <c r="AS62" s="30">
        <v>18.36</v>
      </c>
      <c r="AT62" s="30">
        <v>0</v>
      </c>
      <c r="AU62" s="30">
        <v>1.4076000000000002</v>
      </c>
      <c r="AV62" s="30">
        <v>0</v>
      </c>
      <c r="AW62" s="30">
        <v>0</v>
      </c>
      <c r="AX62" s="30">
        <v>1.9327769776961209E-2</v>
      </c>
      <c r="AY62" s="30">
        <v>10.052789444911822</v>
      </c>
      <c r="AZ62" s="30">
        <v>9.5093696645230218E-3</v>
      </c>
      <c r="BA62" s="30">
        <v>10.388222724966027</v>
      </c>
      <c r="BB62" s="30">
        <v>0.41133147315723678</v>
      </c>
      <c r="BC62" s="30">
        <v>2.0990031870179129</v>
      </c>
      <c r="BD62" s="30">
        <v>0.27926968796469087</v>
      </c>
      <c r="BE62" s="30">
        <v>10.214826311927164</v>
      </c>
      <c r="BF62" s="30">
        <v>8.3754972236427783</v>
      </c>
      <c r="BG62" s="30">
        <v>18.590323535569944</v>
      </c>
      <c r="BH62" s="30">
        <v>1.5807847270226483</v>
      </c>
      <c r="BI62" s="30">
        <v>20.171108262592586</v>
      </c>
    </row>
    <row r="63" spans="1:61" ht="15.75" customHeight="1" x14ac:dyDescent="0.2">
      <c r="A63" s="3" t="s">
        <v>827</v>
      </c>
      <c r="B63" s="3" t="s">
        <v>103</v>
      </c>
      <c r="C63" s="3" t="s">
        <v>826</v>
      </c>
      <c r="D63" s="28" t="s">
        <v>692</v>
      </c>
      <c r="E63" s="28" t="s">
        <v>828</v>
      </c>
      <c r="F63" s="32">
        <v>2000</v>
      </c>
      <c r="G63" s="32">
        <v>247</v>
      </c>
      <c r="H63" s="161">
        <v>62</v>
      </c>
      <c r="I63" s="28">
        <v>26.299999999999997</v>
      </c>
      <c r="J63" s="28">
        <v>18.299999999999997</v>
      </c>
      <c r="K63" s="28">
        <v>49.766123464785544</v>
      </c>
      <c r="L63" s="28">
        <v>23.803341902313623</v>
      </c>
      <c r="M63" s="30">
        <v>0</v>
      </c>
      <c r="N63" s="30">
        <v>0</v>
      </c>
      <c r="O63" s="30">
        <v>7.566538008834935</v>
      </c>
      <c r="P63" s="30">
        <v>1</v>
      </c>
      <c r="Q63" s="30">
        <v>0.98932576948426809</v>
      </c>
      <c r="R63" s="30">
        <v>34.737206418131613</v>
      </c>
      <c r="S63" s="30">
        <v>0</v>
      </c>
      <c r="T63" s="30">
        <v>12.084220744608295</v>
      </c>
      <c r="U63" s="30">
        <v>22.652985673523318</v>
      </c>
      <c r="V63" s="32">
        <v>233.9413528475053</v>
      </c>
      <c r="W63" s="32">
        <v>831.99935257886807</v>
      </c>
      <c r="X63" s="32">
        <v>1065.9407054263738</v>
      </c>
      <c r="Y63" s="32">
        <v>166.36068813012773</v>
      </c>
      <c r="Z63" s="32">
        <v>1232.3013935565016</v>
      </c>
      <c r="AA63" s="32">
        <v>1101.8839974148455</v>
      </c>
      <c r="AB63" s="28">
        <v>0</v>
      </c>
      <c r="AC63" s="28">
        <v>0</v>
      </c>
      <c r="AD63" s="28">
        <v>0</v>
      </c>
      <c r="AE63" s="28">
        <v>5.006152525315386</v>
      </c>
      <c r="AF63" s="28">
        <v>1.5</v>
      </c>
      <c r="AG63" s="28">
        <v>4.0487599565894206</v>
      </c>
      <c r="AH63" s="28">
        <v>0</v>
      </c>
      <c r="AI63" s="32">
        <v>165.19496783335606</v>
      </c>
      <c r="AJ63" s="30">
        <v>1.1532343919834898</v>
      </c>
      <c r="AK63" s="32">
        <v>69.599999999999994</v>
      </c>
      <c r="AL63" s="32">
        <v>250.31137107022624</v>
      </c>
      <c r="AM63" s="32">
        <v>5</v>
      </c>
      <c r="AN63" s="32">
        <v>0</v>
      </c>
      <c r="AO63" s="32">
        <v>62.737594703159907</v>
      </c>
      <c r="AP63" s="32">
        <v>224.20673772904215</v>
      </c>
      <c r="AQ63" s="32">
        <v>0</v>
      </c>
      <c r="AR63" s="30">
        <v>0</v>
      </c>
      <c r="AS63" s="30">
        <v>18.36</v>
      </c>
      <c r="AT63" s="30">
        <v>0</v>
      </c>
      <c r="AU63" s="30">
        <v>1.4076000000000002</v>
      </c>
      <c r="AV63" s="30">
        <v>0</v>
      </c>
      <c r="AW63" s="30">
        <v>0</v>
      </c>
      <c r="AX63" s="30">
        <v>2.7080618408579309E-3</v>
      </c>
      <c r="AY63" s="30">
        <v>10.05549750675268</v>
      </c>
      <c r="AZ63" s="30">
        <v>5.6571431434910436E-3</v>
      </c>
      <c r="BA63" s="30">
        <v>10.393879868109519</v>
      </c>
      <c r="BB63" s="30">
        <v>0.35742428574633239</v>
      </c>
      <c r="BC63" s="30">
        <v>1.7731933419974242</v>
      </c>
      <c r="BD63" s="30">
        <v>0.32286154863412114</v>
      </c>
      <c r="BE63" s="30">
        <v>10.214826311927164</v>
      </c>
      <c r="BF63" s="30">
        <v>8.4491759298681437</v>
      </c>
      <c r="BG63" s="30">
        <v>18.664002241795309</v>
      </c>
      <c r="BH63" s="30">
        <v>1.8299675694314048</v>
      </c>
      <c r="BI63" s="30">
        <v>20.493969811226709</v>
      </c>
    </row>
    <row r="64" spans="1:61" ht="15.75" customHeight="1" x14ac:dyDescent="0.2">
      <c r="A64" s="3" t="s">
        <v>827</v>
      </c>
      <c r="B64" s="3" t="s">
        <v>103</v>
      </c>
      <c r="C64" s="3" t="s">
        <v>826</v>
      </c>
      <c r="D64" s="28" t="s">
        <v>692</v>
      </c>
      <c r="E64" s="28" t="s">
        <v>828</v>
      </c>
      <c r="F64" s="32">
        <v>2000</v>
      </c>
      <c r="G64" s="32">
        <v>248</v>
      </c>
      <c r="H64" s="161">
        <v>63</v>
      </c>
      <c r="I64" s="28">
        <v>26.700000000000003</v>
      </c>
      <c r="J64" s="28">
        <v>18.700000000000003</v>
      </c>
      <c r="K64" s="28">
        <v>50.485354234016313</v>
      </c>
      <c r="L64" s="28">
        <v>23.803341902313623</v>
      </c>
      <c r="M64" s="30">
        <v>0</v>
      </c>
      <c r="N64" s="30">
        <v>0</v>
      </c>
      <c r="O64" s="30">
        <v>7.566538008834935</v>
      </c>
      <c r="P64" s="30">
        <v>1</v>
      </c>
      <c r="Q64" s="30">
        <v>0.98932576948426809</v>
      </c>
      <c r="R64" s="30">
        <v>22.271701722629842</v>
      </c>
      <c r="S64" s="30">
        <v>0</v>
      </c>
      <c r="T64" s="30">
        <v>0.44642556088784247</v>
      </c>
      <c r="U64" s="30">
        <v>21.825276161742</v>
      </c>
      <c r="V64" s="32">
        <v>233.9413528475053</v>
      </c>
      <c r="W64" s="32">
        <v>832.44577813975593</v>
      </c>
      <c r="X64" s="32">
        <v>1066.3871309872616</v>
      </c>
      <c r="Y64" s="32">
        <v>188.18596429186974</v>
      </c>
      <c r="Z64" s="32">
        <v>1254.5730952791314</v>
      </c>
      <c r="AA64" s="32">
        <v>1101.8839974148455</v>
      </c>
      <c r="AB64" s="28">
        <v>0.1</v>
      </c>
      <c r="AC64" s="28">
        <v>0</v>
      </c>
      <c r="AD64" s="28">
        <v>0</v>
      </c>
      <c r="AE64" s="28">
        <v>3.2302758852693438</v>
      </c>
      <c r="AF64" s="28">
        <v>1.5</v>
      </c>
      <c r="AG64" s="28">
        <v>2.518845944278421</v>
      </c>
      <c r="AH64" s="28">
        <v>0</v>
      </c>
      <c r="AI64" s="32">
        <v>159.370282500765</v>
      </c>
      <c r="AJ64" s="30">
        <v>1.1125719702637074</v>
      </c>
      <c r="AK64" s="32">
        <v>69.699999999999989</v>
      </c>
      <c r="AL64" s="32">
        <v>250.31137107022624</v>
      </c>
      <c r="AM64" s="32">
        <v>5</v>
      </c>
      <c r="AN64" s="32">
        <v>0</v>
      </c>
      <c r="AO64" s="32">
        <v>64.237594703159914</v>
      </c>
      <c r="AP64" s="32">
        <v>226.72558367332056</v>
      </c>
      <c r="AQ64" s="32">
        <v>0</v>
      </c>
      <c r="AR64" s="30">
        <v>0</v>
      </c>
      <c r="AS64" s="30">
        <v>18.36</v>
      </c>
      <c r="AT64" s="30">
        <v>0</v>
      </c>
      <c r="AU64" s="30">
        <v>1.4076000000000002</v>
      </c>
      <c r="AV64" s="30">
        <v>0</v>
      </c>
      <c r="AW64" s="30">
        <v>0</v>
      </c>
      <c r="AX64" s="30">
        <v>4.9240813877937939E-3</v>
      </c>
      <c r="AY64" s="30">
        <v>10.060421588140473</v>
      </c>
      <c r="AZ64" s="30">
        <v>5.7072969029662336E-3</v>
      </c>
      <c r="BA64" s="30">
        <v>10.399587165012484</v>
      </c>
      <c r="BB64" s="30">
        <v>0.30293254396205604</v>
      </c>
      <c r="BC64" s="30">
        <v>1.5556124788906429</v>
      </c>
      <c r="BD64" s="30">
        <v>0.21679825414705597</v>
      </c>
      <c r="BE64" s="30">
        <v>10.202483227020384</v>
      </c>
      <c r="BF64" s="30">
        <v>8.438239231142818</v>
      </c>
      <c r="BG64" s="30">
        <v>18.640722458163204</v>
      </c>
      <c r="BH64" s="30">
        <v>2.0700456072105666</v>
      </c>
      <c r="BI64" s="30">
        <v>20.710768065373763</v>
      </c>
    </row>
    <row r="65" spans="1:61" ht="15.75" customHeight="1" x14ac:dyDescent="0.2">
      <c r="A65" s="3" t="s">
        <v>827</v>
      </c>
      <c r="B65" s="3" t="s">
        <v>103</v>
      </c>
      <c r="C65" s="3" t="s">
        <v>826</v>
      </c>
      <c r="D65" s="28" t="s">
        <v>692</v>
      </c>
      <c r="E65" s="28" t="s">
        <v>828</v>
      </c>
      <c r="F65" s="32">
        <v>2000</v>
      </c>
      <c r="G65" s="32">
        <v>249</v>
      </c>
      <c r="H65" s="161">
        <v>64</v>
      </c>
      <c r="I65" s="28">
        <v>27.9</v>
      </c>
      <c r="J65" s="28">
        <v>19.899999999999999</v>
      </c>
      <c r="K65" s="28">
        <v>51.250738849400932</v>
      </c>
      <c r="L65" s="28">
        <v>23.803341902313623</v>
      </c>
      <c r="M65" s="30">
        <v>0</v>
      </c>
      <c r="N65" s="30">
        <v>1.2992720954505941E-2</v>
      </c>
      <c r="O65" s="30">
        <v>7.566538008834935</v>
      </c>
      <c r="P65" s="30">
        <v>1</v>
      </c>
      <c r="Q65" s="30">
        <v>0.98932576948426809</v>
      </c>
      <c r="R65" s="30">
        <v>24.266182473910128</v>
      </c>
      <c r="S65" s="30">
        <v>0</v>
      </c>
      <c r="T65" s="30">
        <v>1.4436659365279851</v>
      </c>
      <c r="U65" s="30">
        <v>22.822516537382143</v>
      </c>
      <c r="V65" s="32">
        <v>233.9413528475053</v>
      </c>
      <c r="W65" s="32">
        <v>833.88944407628389</v>
      </c>
      <c r="X65" s="32">
        <v>1067.8307969237894</v>
      </c>
      <c r="Y65" s="32">
        <v>211.00848082925188</v>
      </c>
      <c r="Z65" s="32">
        <v>1278.8392777530412</v>
      </c>
      <c r="AA65" s="32">
        <v>1101.8839974148455</v>
      </c>
      <c r="AB65" s="28">
        <v>0</v>
      </c>
      <c r="AC65" s="28">
        <v>0</v>
      </c>
      <c r="AD65" s="28">
        <v>0</v>
      </c>
      <c r="AE65" s="28">
        <v>3.59433238910366</v>
      </c>
      <c r="AF65" s="28">
        <v>1.5</v>
      </c>
      <c r="AG65" s="28">
        <v>2.9172038367271447</v>
      </c>
      <c r="AH65" s="28">
        <v>0</v>
      </c>
      <c r="AI65" s="32">
        <v>152.86220370321286</v>
      </c>
      <c r="AJ65" s="30">
        <v>1.0671387443397382</v>
      </c>
      <c r="AK65" s="32">
        <v>69.699999999999989</v>
      </c>
      <c r="AL65" s="32">
        <v>250.31137107022624</v>
      </c>
      <c r="AM65" s="32">
        <v>5</v>
      </c>
      <c r="AN65" s="32">
        <v>0</v>
      </c>
      <c r="AO65" s="32">
        <v>65.737594703159914</v>
      </c>
      <c r="AP65" s="32">
        <v>229.6427875100477</v>
      </c>
      <c r="AQ65" s="32">
        <v>0</v>
      </c>
      <c r="AR65" s="30">
        <v>0</v>
      </c>
      <c r="AS65" s="30">
        <v>18.36</v>
      </c>
      <c r="AT65" s="30">
        <v>0</v>
      </c>
      <c r="AU65" s="30">
        <v>1.4076000000000002</v>
      </c>
      <c r="AV65" s="30">
        <v>0</v>
      </c>
      <c r="AW65" s="30">
        <v>0</v>
      </c>
      <c r="AX65" s="30">
        <v>7.9021721838068923E-3</v>
      </c>
      <c r="AY65" s="30">
        <v>10.068323760324279</v>
      </c>
      <c r="AZ65" s="30">
        <v>6.1066228128935232E-3</v>
      </c>
      <c r="BA65" s="30">
        <v>10.405693787825378</v>
      </c>
      <c r="BB65" s="30">
        <v>0.22979510080584623</v>
      </c>
      <c r="BC65" s="30">
        <v>1.313447600521167</v>
      </c>
      <c r="BD65" s="30">
        <v>0.24396123306960374</v>
      </c>
      <c r="BE65" s="30">
        <v>10.198722604863786</v>
      </c>
      <c r="BF65" s="30">
        <v>8.4349134044578165</v>
      </c>
      <c r="BG65" s="30">
        <v>18.633636009321602</v>
      </c>
      <c r="BH65" s="30">
        <v>2.3210932891217704</v>
      </c>
      <c r="BI65" s="30">
        <v>20.954729298443368</v>
      </c>
    </row>
    <row r="66" spans="1:61" ht="15.75" customHeight="1" x14ac:dyDescent="0.2">
      <c r="A66" s="3" t="s">
        <v>827</v>
      </c>
      <c r="B66" s="3" t="s">
        <v>103</v>
      </c>
      <c r="C66" s="3" t="s">
        <v>826</v>
      </c>
      <c r="D66" s="28" t="s">
        <v>692</v>
      </c>
      <c r="E66" s="28" t="s">
        <v>828</v>
      </c>
      <c r="F66" s="32">
        <v>2000</v>
      </c>
      <c r="G66" s="32">
        <v>250</v>
      </c>
      <c r="H66" s="161">
        <v>65</v>
      </c>
      <c r="I66" s="28">
        <v>27.9</v>
      </c>
      <c r="J66" s="28">
        <v>19.899999999999999</v>
      </c>
      <c r="K66" s="28">
        <v>52.016123464785551</v>
      </c>
      <c r="L66" s="28">
        <v>23.803341902313623</v>
      </c>
      <c r="M66" s="30">
        <v>0</v>
      </c>
      <c r="N66" s="30">
        <v>3.9585496385245115E-3</v>
      </c>
      <c r="O66" s="30">
        <v>7.5535452878804294</v>
      </c>
      <c r="P66" s="30">
        <v>1</v>
      </c>
      <c r="Q66" s="30">
        <v>0.98924223191413063</v>
      </c>
      <c r="R66" s="30">
        <v>27.587987363621274</v>
      </c>
      <c r="S66" s="30">
        <v>0</v>
      </c>
      <c r="T66" s="30">
        <v>3.4395604718738255</v>
      </c>
      <c r="U66" s="30">
        <v>24.148426891747448</v>
      </c>
      <c r="V66" s="32">
        <v>233.9413528475053</v>
      </c>
      <c r="W66" s="32">
        <v>837.32900454815774</v>
      </c>
      <c r="X66" s="32">
        <v>1071.2703573956633</v>
      </c>
      <c r="Y66" s="32">
        <v>235.15690772099933</v>
      </c>
      <c r="Z66" s="32">
        <v>1306.4272651166625</v>
      </c>
      <c r="AA66" s="32">
        <v>1101.8839974148455</v>
      </c>
      <c r="AB66" s="28">
        <v>0</v>
      </c>
      <c r="AC66" s="28">
        <v>0</v>
      </c>
      <c r="AD66" s="28">
        <v>0</v>
      </c>
      <c r="AE66" s="28">
        <v>4.1150472346742228</v>
      </c>
      <c r="AF66" s="28">
        <v>1.5</v>
      </c>
      <c r="AG66" s="28">
        <v>5.0526466673481911</v>
      </c>
      <c r="AH66" s="28">
        <v>0</v>
      </c>
      <c r="AI66" s="32">
        <v>144.92317782408236</v>
      </c>
      <c r="AJ66" s="30">
        <v>1.0117160047566771</v>
      </c>
      <c r="AK66" s="32">
        <v>69.699999999999989</v>
      </c>
      <c r="AL66" s="32">
        <v>250.31137107022624</v>
      </c>
      <c r="AM66" s="32">
        <v>5</v>
      </c>
      <c r="AN66" s="32">
        <v>0</v>
      </c>
      <c r="AO66" s="32">
        <v>67.237594703159914</v>
      </c>
      <c r="AP66" s="32">
        <v>234.6954341773959</v>
      </c>
      <c r="AQ66" s="32">
        <v>0</v>
      </c>
      <c r="AR66" s="30">
        <v>0</v>
      </c>
      <c r="AS66" s="30">
        <v>18.36</v>
      </c>
      <c r="AT66" s="30">
        <v>0</v>
      </c>
      <c r="AU66" s="30">
        <v>1.4076000000000002</v>
      </c>
      <c r="AV66" s="30">
        <v>0</v>
      </c>
      <c r="AW66" s="30">
        <v>0</v>
      </c>
      <c r="AX66" s="30">
        <v>4.4460088736993725E-2</v>
      </c>
      <c r="AY66" s="30">
        <v>10.112783849061273</v>
      </c>
      <c r="AZ66" s="30">
        <v>3.0931613255646131E-3</v>
      </c>
      <c r="BA66" s="30">
        <v>10.408786949150942</v>
      </c>
      <c r="BB66" s="30">
        <v>0.18217948206844953</v>
      </c>
      <c r="BC66" s="30">
        <v>1.1250204271223982</v>
      </c>
      <c r="BD66" s="30">
        <v>0.22979510080584623</v>
      </c>
      <c r="BE66" s="30">
        <v>10.179694641343314</v>
      </c>
      <c r="BF66" s="30">
        <v>8.4181037729749129</v>
      </c>
      <c r="BG66" s="30">
        <v>18.597798414318227</v>
      </c>
      <c r="BH66" s="30">
        <v>2.5867259849309923</v>
      </c>
      <c r="BI66" s="30">
        <v>21.184524399249213</v>
      </c>
    </row>
    <row r="67" spans="1:61" ht="15.75" customHeight="1" x14ac:dyDescent="0.2">
      <c r="A67" s="3" t="s">
        <v>827</v>
      </c>
      <c r="B67" s="3" t="s">
        <v>103</v>
      </c>
      <c r="C67" s="3" t="s">
        <v>826</v>
      </c>
      <c r="D67" s="28" t="s">
        <v>692</v>
      </c>
      <c r="E67" s="28" t="s">
        <v>828</v>
      </c>
      <c r="F67" s="32">
        <v>2000</v>
      </c>
      <c r="G67" s="32">
        <v>251</v>
      </c>
      <c r="H67" s="161">
        <v>66</v>
      </c>
      <c r="I67" s="28">
        <v>29.5</v>
      </c>
      <c r="J67" s="28">
        <v>21.5</v>
      </c>
      <c r="K67" s="28">
        <v>52.843046541708631</v>
      </c>
      <c r="L67" s="28">
        <v>23.803341902313623</v>
      </c>
      <c r="M67" s="30">
        <v>0</v>
      </c>
      <c r="N67" s="30">
        <v>2.0029435284707121E-2</v>
      </c>
      <c r="O67" s="30">
        <v>7.5495867382419046</v>
      </c>
      <c r="P67" s="30">
        <v>1</v>
      </c>
      <c r="Q67" s="30">
        <v>0.98921665045112861</v>
      </c>
      <c r="R67" s="30">
        <v>31.741983879675818</v>
      </c>
      <c r="S67" s="30">
        <v>0</v>
      </c>
      <c r="T67" s="30">
        <v>5.9558880463890915</v>
      </c>
      <c r="U67" s="30">
        <v>25.786095833286726</v>
      </c>
      <c r="V67" s="32">
        <v>233.9413528475053</v>
      </c>
      <c r="W67" s="32">
        <v>843.28489259454682</v>
      </c>
      <c r="X67" s="32">
        <v>1077.2262454420525</v>
      </c>
      <c r="Y67" s="32">
        <v>260.94300355428607</v>
      </c>
      <c r="Z67" s="32">
        <v>1338.1692489963384</v>
      </c>
      <c r="AA67" s="32">
        <v>1101.8839974148455</v>
      </c>
      <c r="AB67" s="28">
        <v>0</v>
      </c>
      <c r="AC67" s="28">
        <v>0</v>
      </c>
      <c r="AD67" s="28">
        <v>0</v>
      </c>
      <c r="AE67" s="28">
        <v>5.4620758547689592</v>
      </c>
      <c r="AF67" s="28">
        <v>1.5</v>
      </c>
      <c r="AG67" s="28">
        <v>7.6219303629715762</v>
      </c>
      <c r="AH67" s="28">
        <v>0</v>
      </c>
      <c r="AI67" s="32">
        <v>135.47268083152846</v>
      </c>
      <c r="AJ67" s="30">
        <v>0.94574160919189265</v>
      </c>
      <c r="AK67" s="32">
        <v>69.699999999999989</v>
      </c>
      <c r="AL67" s="32">
        <v>250.31137107022624</v>
      </c>
      <c r="AM67" s="32">
        <v>5</v>
      </c>
      <c r="AN67" s="32">
        <v>0</v>
      </c>
      <c r="AO67" s="32">
        <v>68.737594703159914</v>
      </c>
      <c r="AP67" s="32">
        <v>242.31736454036746</v>
      </c>
      <c r="AQ67" s="32">
        <v>0</v>
      </c>
      <c r="AR67" s="30">
        <v>0</v>
      </c>
      <c r="AS67" s="30">
        <v>18.36</v>
      </c>
      <c r="AT67" s="30">
        <v>0</v>
      </c>
      <c r="AU67" s="30">
        <v>1.4076000000000002</v>
      </c>
      <c r="AV67" s="30">
        <v>0</v>
      </c>
      <c r="AW67" s="30">
        <v>0</v>
      </c>
      <c r="AX67" s="30">
        <v>0.11299884424800009</v>
      </c>
      <c r="AY67" s="30">
        <v>10.225782693309274</v>
      </c>
      <c r="AZ67" s="30">
        <v>3.0943957814881223E-3</v>
      </c>
      <c r="BA67" s="30">
        <v>10.41188134493243</v>
      </c>
      <c r="BB67" s="30">
        <v>0.17578910626412847</v>
      </c>
      <c r="BC67" s="30">
        <v>1.0527463935149717</v>
      </c>
      <c r="BD67" s="30">
        <v>0.18217948206844953</v>
      </c>
      <c r="BE67" s="30">
        <v>10.125762575509951</v>
      </c>
      <c r="BF67" s="30">
        <v>8.3705682667105705</v>
      </c>
      <c r="BG67" s="30">
        <v>18.496330842220523</v>
      </c>
      <c r="BH67" s="30">
        <v>2.8703730390971463</v>
      </c>
      <c r="BI67" s="30">
        <v>21.366703881317662</v>
      </c>
    </row>
    <row r="68" spans="1:61" ht="15.75" customHeight="1" x14ac:dyDescent="0.2">
      <c r="A68" s="3" t="s">
        <v>827</v>
      </c>
      <c r="B68" s="3" t="s">
        <v>103</v>
      </c>
      <c r="C68" s="3" t="s">
        <v>826</v>
      </c>
      <c r="D68" s="28" t="s">
        <v>692</v>
      </c>
      <c r="E68" s="28" t="s">
        <v>828</v>
      </c>
      <c r="F68" s="32">
        <v>2000</v>
      </c>
      <c r="G68" s="32">
        <v>252</v>
      </c>
      <c r="H68" s="161">
        <v>67</v>
      </c>
      <c r="I68" s="28">
        <v>30.1</v>
      </c>
      <c r="J68" s="28">
        <v>22.1</v>
      </c>
      <c r="K68" s="28">
        <v>53.693046541708632</v>
      </c>
      <c r="L68" s="28">
        <v>23.803341902313623</v>
      </c>
      <c r="M68" s="30">
        <v>0</v>
      </c>
      <c r="N68" s="30">
        <v>5.6770595614066027E-2</v>
      </c>
      <c r="O68" s="30">
        <v>7.5295573029571976</v>
      </c>
      <c r="P68" s="30">
        <v>1</v>
      </c>
      <c r="Q68" s="30">
        <v>0.98908627799302418</v>
      </c>
      <c r="R68" s="30">
        <v>28.912970078292076</v>
      </c>
      <c r="S68" s="30">
        <v>0</v>
      </c>
      <c r="T68" s="30">
        <v>2.7687076269056625</v>
      </c>
      <c r="U68" s="30">
        <v>26.144262451386414</v>
      </c>
      <c r="V68" s="32">
        <v>233.9413528475053</v>
      </c>
      <c r="W68" s="32">
        <v>846.05360022145248</v>
      </c>
      <c r="X68" s="32">
        <v>1079.9949530689582</v>
      </c>
      <c r="Y68" s="32">
        <v>287.08726600567246</v>
      </c>
      <c r="Z68" s="32">
        <v>1367.0822190746308</v>
      </c>
      <c r="AA68" s="32">
        <v>1101.8839974148455</v>
      </c>
      <c r="AB68" s="28">
        <v>0</v>
      </c>
      <c r="AC68" s="28">
        <v>0</v>
      </c>
      <c r="AD68" s="28">
        <v>0</v>
      </c>
      <c r="AE68" s="28">
        <v>4.7959560059399271</v>
      </c>
      <c r="AF68" s="28">
        <v>1.5</v>
      </c>
      <c r="AG68" s="28">
        <v>5.5025279704593197</v>
      </c>
      <c r="AH68" s="28">
        <v>0</v>
      </c>
      <c r="AI68" s="32">
        <v>128.634676796241</v>
      </c>
      <c r="AJ68" s="30">
        <v>0.89800515856362417</v>
      </c>
      <c r="AK68" s="32">
        <v>69.699999999999989</v>
      </c>
      <c r="AL68" s="32">
        <v>250.31137107022624</v>
      </c>
      <c r="AM68" s="32">
        <v>5</v>
      </c>
      <c r="AN68" s="32">
        <v>0</v>
      </c>
      <c r="AO68" s="32">
        <v>70.237594703159914</v>
      </c>
      <c r="AP68" s="32">
        <v>247.81989251082678</v>
      </c>
      <c r="AQ68" s="32">
        <v>0</v>
      </c>
      <c r="AR68" s="30">
        <v>0</v>
      </c>
      <c r="AS68" s="30">
        <v>18.36</v>
      </c>
      <c r="AT68" s="30">
        <v>0</v>
      </c>
      <c r="AU68" s="30">
        <v>1.4076000000000002</v>
      </c>
      <c r="AV68" s="30">
        <v>0</v>
      </c>
      <c r="AW68" s="30">
        <v>0</v>
      </c>
      <c r="AX68" s="30">
        <v>0.10268573535552962</v>
      </c>
      <c r="AY68" s="30">
        <v>10.328468428664804</v>
      </c>
      <c r="AZ68" s="30">
        <v>0</v>
      </c>
      <c r="BA68" s="30">
        <v>10.41188134493243</v>
      </c>
      <c r="BB68" s="30">
        <v>0.15702357081353618</v>
      </c>
      <c r="BC68" s="30">
        <v>0.97964402260068428</v>
      </c>
      <c r="BD68" s="30">
        <v>0.17578910626412847</v>
      </c>
      <c r="BE68" s="30">
        <v>10.066078339201933</v>
      </c>
      <c r="BF68" s="30">
        <v>8.3184547223174654</v>
      </c>
      <c r="BG68" s="30">
        <v>18.384533061519399</v>
      </c>
      <c r="BH68" s="30">
        <v>3.1579599260623969</v>
      </c>
      <c r="BI68" s="30">
        <v>21.542492987581792</v>
      </c>
    </row>
    <row r="69" spans="1:61" ht="15.75" customHeight="1" x14ac:dyDescent="0.2">
      <c r="A69" s="3" t="s">
        <v>827</v>
      </c>
      <c r="B69" s="3" t="s">
        <v>103</v>
      </c>
      <c r="C69" s="3" t="s">
        <v>826</v>
      </c>
      <c r="D69" s="28" t="s">
        <v>692</v>
      </c>
      <c r="E69" s="28" t="s">
        <v>828</v>
      </c>
      <c r="F69" s="32">
        <v>2000</v>
      </c>
      <c r="G69" s="32">
        <v>253</v>
      </c>
      <c r="H69" s="161">
        <v>68</v>
      </c>
      <c r="I69" s="28">
        <v>28.7</v>
      </c>
      <c r="J69" s="28">
        <v>20.7</v>
      </c>
      <c r="K69" s="28">
        <v>54.489200387862482</v>
      </c>
      <c r="L69" s="28">
        <v>23.803341902313623</v>
      </c>
      <c r="M69" s="30">
        <v>0</v>
      </c>
      <c r="N69" s="30">
        <v>6.2825511903175854E-2</v>
      </c>
      <c r="O69" s="30">
        <v>7.4727867073431318</v>
      </c>
      <c r="P69" s="30">
        <v>1</v>
      </c>
      <c r="Q69" s="30">
        <v>0.98870812709994749</v>
      </c>
      <c r="R69" s="30">
        <v>30.064636728855206</v>
      </c>
      <c r="S69" s="30">
        <v>0</v>
      </c>
      <c r="T69" s="30">
        <v>2.7938601787433228</v>
      </c>
      <c r="U69" s="30">
        <v>27.270776550111883</v>
      </c>
      <c r="V69" s="32">
        <v>233.9413528475053</v>
      </c>
      <c r="W69" s="32">
        <v>848.84746040019581</v>
      </c>
      <c r="X69" s="32">
        <v>1082.7888132477017</v>
      </c>
      <c r="Y69" s="32">
        <v>314.35804255578432</v>
      </c>
      <c r="Z69" s="32">
        <v>1397.146855803486</v>
      </c>
      <c r="AA69" s="32">
        <v>1101.8839974148455</v>
      </c>
      <c r="AB69" s="28">
        <v>0</v>
      </c>
      <c r="AC69" s="28">
        <v>0</v>
      </c>
      <c r="AD69" s="28">
        <v>0</v>
      </c>
      <c r="AE69" s="28">
        <v>4.4930691399405633</v>
      </c>
      <c r="AF69" s="28">
        <v>1.5</v>
      </c>
      <c r="AG69" s="28">
        <v>2.2115308413675101</v>
      </c>
      <c r="AH69" s="28">
        <v>0</v>
      </c>
      <c r="AI69" s="32">
        <v>125.05566479043588</v>
      </c>
      <c r="AJ69" s="30">
        <v>0.87301989546178493</v>
      </c>
      <c r="AK69" s="32">
        <v>69.699999999999989</v>
      </c>
      <c r="AL69" s="32">
        <v>250.31137107022624</v>
      </c>
      <c r="AM69" s="32">
        <v>5</v>
      </c>
      <c r="AN69" s="32">
        <v>0</v>
      </c>
      <c r="AO69" s="32">
        <v>71.737594703159914</v>
      </c>
      <c r="AP69" s="32">
        <v>250.03142335219428</v>
      </c>
      <c r="AQ69" s="32">
        <v>0</v>
      </c>
      <c r="AR69" s="30">
        <v>0</v>
      </c>
      <c r="AS69" s="30">
        <v>18.36</v>
      </c>
      <c r="AT69" s="30">
        <v>0</v>
      </c>
      <c r="AU69" s="30">
        <v>1.4076000000000002</v>
      </c>
      <c r="AV69" s="30">
        <v>0</v>
      </c>
      <c r="AW69" s="30">
        <v>0</v>
      </c>
      <c r="AX69" s="30">
        <v>0.11019982481901082</v>
      </c>
      <c r="AY69" s="30">
        <v>10.438668253483815</v>
      </c>
      <c r="AZ69" s="30">
        <v>0</v>
      </c>
      <c r="BA69" s="30">
        <v>10.41188134493243</v>
      </c>
      <c r="BB69" s="30">
        <v>0.14663968841507805</v>
      </c>
      <c r="BC69" s="30">
        <v>0.93282127659979042</v>
      </c>
      <c r="BD69" s="30">
        <v>0.15702357081353618</v>
      </c>
      <c r="BE69" s="30">
        <v>9.9895181693151418</v>
      </c>
      <c r="BF69" s="30">
        <v>8.2520599209665626</v>
      </c>
      <c r="BG69" s="30">
        <v>18.241578090281706</v>
      </c>
      <c r="BH69" s="30">
        <v>3.4579384681136278</v>
      </c>
      <c r="BI69" s="30">
        <v>21.699516558395327</v>
      </c>
    </row>
    <row r="70" spans="1:61" ht="15.75" customHeight="1" x14ac:dyDescent="0.2">
      <c r="A70" s="3" t="s">
        <v>827</v>
      </c>
      <c r="B70" s="3" t="s">
        <v>103</v>
      </c>
      <c r="C70" s="3" t="s">
        <v>826</v>
      </c>
      <c r="D70" s="28" t="s">
        <v>692</v>
      </c>
      <c r="E70" s="28" t="s">
        <v>828</v>
      </c>
      <c r="F70" s="32">
        <v>2000</v>
      </c>
      <c r="G70" s="32">
        <v>254</v>
      </c>
      <c r="H70" s="161">
        <v>69</v>
      </c>
      <c r="I70" s="28">
        <v>26.75</v>
      </c>
      <c r="J70" s="28">
        <v>18.75</v>
      </c>
      <c r="K70" s="28">
        <v>55.210354234016329</v>
      </c>
      <c r="L70" s="28">
        <v>23.803341902313623</v>
      </c>
      <c r="M70" s="30">
        <v>0</v>
      </c>
      <c r="N70" s="30">
        <v>8.0589652512412902E-2</v>
      </c>
      <c r="O70" s="30">
        <v>7.4099611954399558</v>
      </c>
      <c r="P70" s="30">
        <v>1</v>
      </c>
      <c r="Q70" s="30">
        <v>0.98827435220650695</v>
      </c>
      <c r="R70" s="30">
        <v>33.870138598821406</v>
      </c>
      <c r="S70" s="30">
        <v>0</v>
      </c>
      <c r="T70" s="30">
        <v>4.7841024980519791</v>
      </c>
      <c r="U70" s="30">
        <v>29.086036100769427</v>
      </c>
      <c r="V70" s="32">
        <v>233.9413528475053</v>
      </c>
      <c r="W70" s="32">
        <v>853.63156289824781</v>
      </c>
      <c r="X70" s="32">
        <v>1087.5729157457536</v>
      </c>
      <c r="Y70" s="32">
        <v>343.44407865655376</v>
      </c>
      <c r="Z70" s="32">
        <v>1431.0169944023073</v>
      </c>
      <c r="AA70" s="32">
        <v>1101.8839974148455</v>
      </c>
      <c r="AB70" s="28">
        <v>0</v>
      </c>
      <c r="AC70" s="28">
        <v>0</v>
      </c>
      <c r="AD70" s="28">
        <v>0</v>
      </c>
      <c r="AE70" s="28">
        <v>4.9020607740549362</v>
      </c>
      <c r="AF70" s="28">
        <v>1.5</v>
      </c>
      <c r="AG70" s="28">
        <v>2.7003902629175114</v>
      </c>
      <c r="AH70" s="28">
        <v>0</v>
      </c>
      <c r="AI70" s="32">
        <v>121.01708668338441</v>
      </c>
      <c r="AJ70" s="30">
        <v>0.84482637825694118</v>
      </c>
      <c r="AK70" s="32">
        <v>69.699999999999989</v>
      </c>
      <c r="AL70" s="32">
        <v>250.31137107022624</v>
      </c>
      <c r="AM70" s="32">
        <v>5</v>
      </c>
      <c r="AN70" s="32">
        <v>0</v>
      </c>
      <c r="AO70" s="32">
        <v>73.237594703159914</v>
      </c>
      <c r="AP70" s="32">
        <v>252.7318136151118</v>
      </c>
      <c r="AQ70" s="32">
        <v>0</v>
      </c>
      <c r="AR70" s="30">
        <v>0</v>
      </c>
      <c r="AS70" s="30">
        <v>18.36</v>
      </c>
      <c r="AT70" s="30">
        <v>0</v>
      </c>
      <c r="AU70" s="30">
        <v>1.4076000000000002</v>
      </c>
      <c r="AV70" s="30">
        <v>0</v>
      </c>
      <c r="AW70" s="30">
        <v>0</v>
      </c>
      <c r="AX70" s="30">
        <v>0.12392915639303091</v>
      </c>
      <c r="AY70" s="30">
        <v>10.562597409876846</v>
      </c>
      <c r="AZ70" s="30">
        <v>0</v>
      </c>
      <c r="BA70" s="30">
        <v>10.41188134493243</v>
      </c>
      <c r="BB70" s="30">
        <v>0.14392463857968851</v>
      </c>
      <c r="BC70" s="30">
        <v>0.91011174457092392</v>
      </c>
      <c r="BD70" s="30">
        <v>0.14663968841507805</v>
      </c>
      <c r="BE70" s="30">
        <v>9.8965163081237613</v>
      </c>
      <c r="BF70" s="30">
        <v>8.1717550734645581</v>
      </c>
      <c r="BG70" s="30">
        <v>18.068271381588318</v>
      </c>
      <c r="BH70" s="30">
        <v>3.7778848652220915</v>
      </c>
      <c r="BI70" s="30">
        <v>21.846156246810406</v>
      </c>
    </row>
    <row r="71" spans="1:61" ht="15.75" customHeight="1" x14ac:dyDescent="0.2">
      <c r="A71" s="3" t="s">
        <v>827</v>
      </c>
      <c r="B71" s="3" t="s">
        <v>103</v>
      </c>
      <c r="C71" s="3" t="s">
        <v>826</v>
      </c>
      <c r="D71" s="28" t="s">
        <v>692</v>
      </c>
      <c r="E71" s="28" t="s">
        <v>828</v>
      </c>
      <c r="F71" s="32">
        <v>2000</v>
      </c>
      <c r="G71" s="32">
        <v>255</v>
      </c>
      <c r="H71" s="161">
        <v>70</v>
      </c>
      <c r="I71" s="28">
        <v>25.5</v>
      </c>
      <c r="J71" s="28">
        <v>17.5</v>
      </c>
      <c r="K71" s="28">
        <v>55.883431157093248</v>
      </c>
      <c r="L71" s="28">
        <v>23.803341902313623</v>
      </c>
      <c r="M71" s="30">
        <v>0</v>
      </c>
      <c r="N71" s="30">
        <v>9.7896695990926735E-2</v>
      </c>
      <c r="O71" s="30">
        <v>7.329371542927543</v>
      </c>
      <c r="P71" s="30">
        <v>1</v>
      </c>
      <c r="Q71" s="30">
        <v>0.9876934412345254</v>
      </c>
      <c r="R71" s="30">
        <v>22.400887247199037</v>
      </c>
      <c r="S71" s="30">
        <v>0</v>
      </c>
      <c r="T71" s="30">
        <v>0</v>
      </c>
      <c r="U71" s="30">
        <v>27.177481164070365</v>
      </c>
      <c r="V71" s="32">
        <v>233.9413528475053</v>
      </c>
      <c r="W71" s="32">
        <v>853.63156289824781</v>
      </c>
      <c r="X71" s="32">
        <v>1082.7963218288824</v>
      </c>
      <c r="Y71" s="32">
        <v>370.6215598206241</v>
      </c>
      <c r="Z71" s="32">
        <v>1453.4178816495064</v>
      </c>
      <c r="AA71" s="32">
        <v>1101.8839974148455</v>
      </c>
      <c r="AB71" s="28">
        <v>0</v>
      </c>
      <c r="AC71" s="28">
        <v>0</v>
      </c>
      <c r="AD71" s="28">
        <v>0</v>
      </c>
      <c r="AE71" s="28">
        <v>3.1714094987930377</v>
      </c>
      <c r="AF71" s="28">
        <v>1.5</v>
      </c>
      <c r="AG71" s="28">
        <v>1.6441770722188362</v>
      </c>
      <c r="AH71" s="28">
        <v>0</v>
      </c>
      <c r="AI71" s="32">
        <v>117.9714316064248</v>
      </c>
      <c r="AJ71" s="30">
        <v>0.82356450674271864</v>
      </c>
      <c r="AK71" s="32">
        <v>69.699999999999989</v>
      </c>
      <c r="AL71" s="32">
        <v>250.31137107022624</v>
      </c>
      <c r="AM71" s="32">
        <v>5</v>
      </c>
      <c r="AN71" s="32">
        <v>0</v>
      </c>
      <c r="AO71" s="32">
        <v>74.737594703159914</v>
      </c>
      <c r="AP71" s="32">
        <v>254.37599068733064</v>
      </c>
      <c r="AQ71" s="32">
        <v>0</v>
      </c>
      <c r="AR71" s="30">
        <v>0</v>
      </c>
      <c r="AS71" s="30">
        <v>18.36</v>
      </c>
      <c r="AT71" s="30">
        <v>0</v>
      </c>
      <c r="AU71" s="30">
        <v>1.4076000000000002</v>
      </c>
      <c r="AV71" s="30">
        <v>0</v>
      </c>
      <c r="AW71" s="30">
        <v>0</v>
      </c>
      <c r="AX71" s="30">
        <v>0.12611562816239194</v>
      </c>
      <c r="AY71" s="30">
        <v>10.688713038039237</v>
      </c>
      <c r="AZ71" s="30">
        <v>0</v>
      </c>
      <c r="BA71" s="30">
        <v>10.41188134493243</v>
      </c>
      <c r="BB71" s="30">
        <v>0.18397132561105373</v>
      </c>
      <c r="BC71" s="30">
        <v>1.0362273727333158</v>
      </c>
      <c r="BD71" s="30">
        <v>0</v>
      </c>
      <c r="BE71" s="30">
        <v>9.7355893962097149</v>
      </c>
      <c r="BF71" s="30">
        <v>8.0337296925738304</v>
      </c>
      <c r="BG71" s="30">
        <v>17.769319088783547</v>
      </c>
      <c r="BH71" s="30">
        <v>4.0768371580268656</v>
      </c>
      <c r="BI71" s="30">
        <v>21.846156246810406</v>
      </c>
    </row>
    <row r="72" spans="1:61" ht="15.75" customHeight="1" x14ac:dyDescent="0.2">
      <c r="A72" s="3" t="s">
        <v>827</v>
      </c>
      <c r="B72" s="3" t="s">
        <v>103</v>
      </c>
      <c r="C72" s="3" t="s">
        <v>826</v>
      </c>
      <c r="D72" s="28" t="s">
        <v>692</v>
      </c>
      <c r="E72" s="28" t="s">
        <v>828</v>
      </c>
      <c r="F72" s="32">
        <v>2000</v>
      </c>
      <c r="G72" s="32">
        <v>256</v>
      </c>
      <c r="H72" s="161">
        <v>71</v>
      </c>
      <c r="I72" s="28">
        <v>24.9</v>
      </c>
      <c r="J72" s="28">
        <v>16.899999999999999</v>
      </c>
      <c r="K72" s="28">
        <v>56.533431157093247</v>
      </c>
      <c r="L72" s="28">
        <v>23.803341902313623</v>
      </c>
      <c r="M72" s="30">
        <v>0</v>
      </c>
      <c r="N72" s="30">
        <v>0.16939674938320612</v>
      </c>
      <c r="O72" s="30">
        <v>7.2314748469366164</v>
      </c>
      <c r="P72" s="30">
        <v>0.99333333333333329</v>
      </c>
      <c r="Q72" s="30">
        <v>0.98694892676234902</v>
      </c>
      <c r="R72" s="30">
        <v>41.834317372117596</v>
      </c>
      <c r="S72" s="30">
        <v>0</v>
      </c>
      <c r="T72" s="30">
        <v>8.7377834569032515</v>
      </c>
      <c r="U72" s="30">
        <v>33.096533915214344</v>
      </c>
      <c r="V72" s="32">
        <v>233.9413528475053</v>
      </c>
      <c r="W72" s="32">
        <v>862.36934635515104</v>
      </c>
      <c r="X72" s="32">
        <v>1091.5341052857855</v>
      </c>
      <c r="Y72" s="32">
        <v>403.71809373583847</v>
      </c>
      <c r="Z72" s="32">
        <v>1495.2521990216239</v>
      </c>
      <c r="AA72" s="32">
        <v>1101.8839974148455</v>
      </c>
      <c r="AB72" s="28">
        <v>0</v>
      </c>
      <c r="AC72" s="28">
        <v>0</v>
      </c>
      <c r="AD72" s="28">
        <v>0</v>
      </c>
      <c r="AE72" s="28">
        <v>5.9582753522866865</v>
      </c>
      <c r="AF72" s="28">
        <v>1.5</v>
      </c>
      <c r="AG72" s="28">
        <v>5.8889502924301853</v>
      </c>
      <c r="AH72" s="28">
        <v>0</v>
      </c>
      <c r="AI72" s="32">
        <v>110.93535762068684</v>
      </c>
      <c r="AJ72" s="30">
        <v>0.77444531981277065</v>
      </c>
      <c r="AK72" s="32">
        <v>69.699999999999989</v>
      </c>
      <c r="AL72" s="32">
        <v>250.31137107022624</v>
      </c>
      <c r="AM72" s="32">
        <v>5</v>
      </c>
      <c r="AN72" s="32">
        <v>0</v>
      </c>
      <c r="AO72" s="32">
        <v>76.237594703159914</v>
      </c>
      <c r="AP72" s="32">
        <v>260.26494097976081</v>
      </c>
      <c r="AQ72" s="32">
        <v>0</v>
      </c>
      <c r="AR72" s="30">
        <v>0</v>
      </c>
      <c r="AS72" s="30">
        <v>18.36</v>
      </c>
      <c r="AT72" s="30">
        <v>0</v>
      </c>
      <c r="AU72" s="30">
        <v>1.4076000000000002</v>
      </c>
      <c r="AV72" s="30">
        <v>0</v>
      </c>
      <c r="AW72" s="30">
        <v>0</v>
      </c>
      <c r="AX72" s="30">
        <v>0.18135561626265498</v>
      </c>
      <c r="AY72" s="30">
        <v>10.870068654301893</v>
      </c>
      <c r="AZ72" s="30">
        <v>0</v>
      </c>
      <c r="BA72" s="30">
        <v>10.41188134493243</v>
      </c>
      <c r="BB72" s="30">
        <v>0.18418842664639978</v>
      </c>
      <c r="BC72" s="30">
        <v>1.0336126633794815</v>
      </c>
      <c r="BD72" s="30">
        <v>0.18397132561105373</v>
      </c>
      <c r="BE72" s="30">
        <v>9.6381007457242376</v>
      </c>
      <c r="BF72" s="30">
        <v>7.9511277956030026</v>
      </c>
      <c r="BG72" s="30">
        <v>17.589228541327241</v>
      </c>
      <c r="BH72" s="30">
        <v>4.4408990310942231</v>
      </c>
      <c r="BI72" s="30">
        <v>22.03012757242146</v>
      </c>
    </row>
    <row r="73" spans="1:61" ht="15.75" customHeight="1" x14ac:dyDescent="0.2">
      <c r="A73" s="3" t="s">
        <v>827</v>
      </c>
      <c r="B73" s="3" t="s">
        <v>103</v>
      </c>
      <c r="C73" s="3" t="s">
        <v>826</v>
      </c>
      <c r="D73" s="28" t="s">
        <v>692</v>
      </c>
      <c r="E73" s="28" t="s">
        <v>828</v>
      </c>
      <c r="F73" s="32">
        <v>2000</v>
      </c>
      <c r="G73" s="32">
        <v>257</v>
      </c>
      <c r="H73" s="161">
        <v>72</v>
      </c>
      <c r="I73" s="28">
        <v>26.85</v>
      </c>
      <c r="J73" s="28">
        <v>18.850000000000001</v>
      </c>
      <c r="K73" s="28">
        <v>57.258431157093248</v>
      </c>
      <c r="L73" s="28">
        <v>23.803341902313623</v>
      </c>
      <c r="M73" s="30">
        <v>0</v>
      </c>
      <c r="N73" s="30">
        <v>0.10261963208997517</v>
      </c>
      <c r="O73" s="30">
        <v>7.0620780975534103</v>
      </c>
      <c r="P73" s="30">
        <v>1</v>
      </c>
      <c r="Q73" s="30">
        <v>0.98555268736494084</v>
      </c>
      <c r="R73" s="30">
        <v>30.134258968870427</v>
      </c>
      <c r="S73" s="30">
        <v>0</v>
      </c>
      <c r="T73" s="30">
        <v>0</v>
      </c>
      <c r="U73" s="30">
        <v>31.017046791452429</v>
      </c>
      <c r="V73" s="32">
        <v>233.9413528475053</v>
      </c>
      <c r="W73" s="32">
        <v>862.36934635515104</v>
      </c>
      <c r="X73" s="32">
        <v>1090.6513174632034</v>
      </c>
      <c r="Y73" s="32">
        <v>434.73514052729092</v>
      </c>
      <c r="Z73" s="32">
        <v>1525.3864579904944</v>
      </c>
      <c r="AA73" s="32">
        <v>1101.8839974148455</v>
      </c>
      <c r="AB73" s="28">
        <v>0</v>
      </c>
      <c r="AC73" s="28">
        <v>0</v>
      </c>
      <c r="AD73" s="28">
        <v>0</v>
      </c>
      <c r="AE73" s="28">
        <v>4.410693758633089</v>
      </c>
      <c r="AF73" s="28">
        <v>1.5</v>
      </c>
      <c r="AG73" s="28">
        <v>4.104330280104306</v>
      </c>
      <c r="AH73" s="28">
        <v>0</v>
      </c>
      <c r="AI73" s="32">
        <v>105.5769660628961</v>
      </c>
      <c r="AJ73" s="30">
        <v>0.73703811842397315</v>
      </c>
      <c r="AK73" s="32">
        <v>69.699999999999989</v>
      </c>
      <c r="AL73" s="32">
        <v>250.31137107022624</v>
      </c>
      <c r="AM73" s="32">
        <v>5</v>
      </c>
      <c r="AN73" s="32">
        <v>0</v>
      </c>
      <c r="AO73" s="32">
        <v>77.737594703159914</v>
      </c>
      <c r="AP73" s="32">
        <v>264.36927125986512</v>
      </c>
      <c r="AQ73" s="32">
        <v>0</v>
      </c>
      <c r="AR73" s="30">
        <v>0</v>
      </c>
      <c r="AS73" s="30">
        <v>18.36</v>
      </c>
      <c r="AT73" s="30">
        <v>0</v>
      </c>
      <c r="AU73" s="30">
        <v>1.4076000000000002</v>
      </c>
      <c r="AV73" s="30">
        <v>0</v>
      </c>
      <c r="AW73" s="30">
        <v>0</v>
      </c>
      <c r="AX73" s="30">
        <v>0.22499587471148702</v>
      </c>
      <c r="AY73" s="30">
        <v>11.09506452901338</v>
      </c>
      <c r="AZ73" s="30">
        <v>0</v>
      </c>
      <c r="BA73" s="30">
        <v>10.41188134493243</v>
      </c>
      <c r="BB73" s="30">
        <v>0.25409948977951036</v>
      </c>
      <c r="BC73" s="30">
        <v>1.2586085380909686</v>
      </c>
      <c r="BD73" s="30">
        <v>0</v>
      </c>
      <c r="BE73" s="30">
        <v>9.4530312666107896</v>
      </c>
      <c r="BF73" s="30">
        <v>7.7950097600104735</v>
      </c>
      <c r="BG73" s="30">
        <v>17.248041026621262</v>
      </c>
      <c r="BH73" s="30">
        <v>4.7820865458002002</v>
      </c>
      <c r="BI73" s="30">
        <v>22.03012757242146</v>
      </c>
    </row>
    <row r="74" spans="1:61" ht="15.75" customHeight="1" x14ac:dyDescent="0.2">
      <c r="A74" s="3" t="s">
        <v>827</v>
      </c>
      <c r="B74" s="3" t="s">
        <v>103</v>
      </c>
      <c r="C74" s="3" t="s">
        <v>826</v>
      </c>
      <c r="D74" s="28" t="s">
        <v>692</v>
      </c>
      <c r="E74" s="28" t="s">
        <v>828</v>
      </c>
      <c r="F74" s="32">
        <v>2000</v>
      </c>
      <c r="G74" s="32">
        <v>258</v>
      </c>
      <c r="H74" s="161">
        <v>73</v>
      </c>
      <c r="I74" s="28">
        <v>27.1</v>
      </c>
      <c r="J74" s="28">
        <v>19.100000000000001</v>
      </c>
      <c r="K74" s="28">
        <v>57.993046541708637</v>
      </c>
      <c r="L74" s="28">
        <v>23.803341902313623</v>
      </c>
      <c r="M74" s="30">
        <v>0</v>
      </c>
      <c r="N74" s="30">
        <v>0.19480997801415501</v>
      </c>
      <c r="O74" s="30">
        <v>6.9594584654634355</v>
      </c>
      <c r="P74" s="30">
        <v>1</v>
      </c>
      <c r="Q74" s="30">
        <v>0.98463518431556563</v>
      </c>
      <c r="R74" s="30">
        <v>8.2709355482507512</v>
      </c>
      <c r="S74" s="30">
        <v>0</v>
      </c>
      <c r="T74" s="30">
        <v>0</v>
      </c>
      <c r="U74" s="30">
        <v>25.362077534332638</v>
      </c>
      <c r="V74" s="32">
        <v>233.9413528475053</v>
      </c>
      <c r="W74" s="32">
        <v>862.36934635515104</v>
      </c>
      <c r="X74" s="32">
        <v>1073.5601754771214</v>
      </c>
      <c r="Y74" s="32">
        <v>460.09721806162355</v>
      </c>
      <c r="Z74" s="32">
        <v>1533.6573935387451</v>
      </c>
      <c r="AA74" s="32">
        <v>1101.8839974148455</v>
      </c>
      <c r="AB74" s="28">
        <v>0.1</v>
      </c>
      <c r="AC74" s="28">
        <v>0</v>
      </c>
      <c r="AD74" s="28">
        <v>0</v>
      </c>
      <c r="AE74" s="28">
        <v>1.2095949773335848</v>
      </c>
      <c r="AF74" s="28">
        <v>2.8097859796064606E-2</v>
      </c>
      <c r="AG74" s="28">
        <v>0.70815540773157959</v>
      </c>
      <c r="AH74" s="28">
        <v>0</v>
      </c>
      <c r="AI74" s="32">
        <v>104.98387239072898</v>
      </c>
      <c r="AJ74" s="30">
        <v>0.73289770162204682</v>
      </c>
      <c r="AK74" s="32">
        <v>69.799999999999983</v>
      </c>
      <c r="AL74" s="32">
        <v>250.31137107022624</v>
      </c>
      <c r="AM74" s="32">
        <v>5</v>
      </c>
      <c r="AN74" s="32">
        <v>0</v>
      </c>
      <c r="AO74" s="32">
        <v>77.765692562955977</v>
      </c>
      <c r="AP74" s="32">
        <v>265.07742666759668</v>
      </c>
      <c r="AQ74" s="32">
        <v>0</v>
      </c>
      <c r="AR74" s="30">
        <v>0</v>
      </c>
      <c r="AS74" s="30">
        <v>18.36</v>
      </c>
      <c r="AT74" s="30">
        <v>0</v>
      </c>
      <c r="AU74" s="30">
        <v>1.4076000000000002</v>
      </c>
      <c r="AV74" s="30">
        <v>0</v>
      </c>
      <c r="AW74" s="30">
        <v>0</v>
      </c>
      <c r="AX74" s="30">
        <v>0.22529480595709517</v>
      </c>
      <c r="AY74" s="30">
        <v>11.320359334970474</v>
      </c>
      <c r="AZ74" s="30">
        <v>0</v>
      </c>
      <c r="BA74" s="30">
        <v>10.41188134493243</v>
      </c>
      <c r="BB74" s="30">
        <v>0.3353662810004952</v>
      </c>
      <c r="BC74" s="30">
        <v>1.4839033440480636</v>
      </c>
      <c r="BD74" s="30">
        <v>0</v>
      </c>
      <c r="BE74" s="30">
        <v>9.3014537174889309</v>
      </c>
      <c r="BF74" s="30">
        <v>7.6676044562546739</v>
      </c>
      <c r="BG74" s="30">
        <v>16.969058173743605</v>
      </c>
      <c r="BH74" s="30">
        <v>5.0610693986778594</v>
      </c>
      <c r="BI74" s="30">
        <v>22.03012757242146</v>
      </c>
    </row>
    <row r="75" spans="1:61" ht="15.75" customHeight="1" x14ac:dyDescent="0.2">
      <c r="A75" s="3" t="s">
        <v>827</v>
      </c>
      <c r="B75" s="3" t="s">
        <v>103</v>
      </c>
      <c r="C75" s="3" t="s">
        <v>826</v>
      </c>
      <c r="D75" s="28" t="s">
        <v>692</v>
      </c>
      <c r="E75" s="28" t="s">
        <v>828</v>
      </c>
      <c r="F75" s="32">
        <v>2000</v>
      </c>
      <c r="G75" s="32">
        <v>259</v>
      </c>
      <c r="H75" s="161">
        <v>74</v>
      </c>
      <c r="I75" s="28">
        <v>27.3</v>
      </c>
      <c r="J75" s="28">
        <v>19.3</v>
      </c>
      <c r="K75" s="28">
        <v>58.735354234016327</v>
      </c>
      <c r="L75" s="28">
        <v>23.803341902313623</v>
      </c>
      <c r="M75" s="30">
        <v>0</v>
      </c>
      <c r="N75" s="30">
        <v>0.15955531486511471</v>
      </c>
      <c r="O75" s="30">
        <v>6.7646484874492803</v>
      </c>
      <c r="P75" s="30">
        <v>1</v>
      </c>
      <c r="Q75" s="30">
        <v>0.98273008126631556</v>
      </c>
      <c r="R75" s="30">
        <v>18.656147862759738</v>
      </c>
      <c r="S75" s="30">
        <v>0</v>
      </c>
      <c r="T75" s="30">
        <v>0</v>
      </c>
      <c r="U75" s="30">
        <v>28.881547479850493</v>
      </c>
      <c r="V75" s="32">
        <v>233.9413528475053</v>
      </c>
      <c r="W75" s="32">
        <v>862.36934635515104</v>
      </c>
      <c r="X75" s="32">
        <v>1063.3347758600307</v>
      </c>
      <c r="Y75" s="32">
        <v>488.97876554147405</v>
      </c>
      <c r="Z75" s="32">
        <v>1552.3135414015048</v>
      </c>
      <c r="AA75" s="32">
        <v>1101.8839974148455</v>
      </c>
      <c r="AB75" s="28">
        <v>0.3</v>
      </c>
      <c r="AC75" s="28">
        <v>0</v>
      </c>
      <c r="AD75" s="28">
        <v>0</v>
      </c>
      <c r="AE75" s="28">
        <v>2.7471890895229616</v>
      </c>
      <c r="AF75" s="28">
        <v>1.5</v>
      </c>
      <c r="AG75" s="28">
        <v>1.8379330341554641</v>
      </c>
      <c r="AH75" s="28">
        <v>0</v>
      </c>
      <c r="AI75" s="32">
        <v>102.05799962465963</v>
      </c>
      <c r="AJ75" s="30">
        <v>0.71247203645406876</v>
      </c>
      <c r="AK75" s="32">
        <v>70.09999999999998</v>
      </c>
      <c r="AL75" s="32">
        <v>250.31137107022624</v>
      </c>
      <c r="AM75" s="32">
        <v>5</v>
      </c>
      <c r="AN75" s="32">
        <v>0</v>
      </c>
      <c r="AO75" s="32">
        <v>79.265692562955977</v>
      </c>
      <c r="AP75" s="32">
        <v>266.91535970175215</v>
      </c>
      <c r="AQ75" s="32">
        <v>0</v>
      </c>
      <c r="AR75" s="30">
        <v>0</v>
      </c>
      <c r="AS75" s="30">
        <v>18.36</v>
      </c>
      <c r="AT75" s="30">
        <v>0</v>
      </c>
      <c r="AU75" s="30">
        <v>1.4076000000000002</v>
      </c>
      <c r="AV75" s="30">
        <v>0</v>
      </c>
      <c r="AW75" s="30">
        <v>0</v>
      </c>
      <c r="AX75" s="30">
        <v>0.21589397894189138</v>
      </c>
      <c r="AY75" s="30">
        <v>11.536253313912365</v>
      </c>
      <c r="AZ75" s="30">
        <v>0</v>
      </c>
      <c r="BA75" s="30">
        <v>10.41188134493243</v>
      </c>
      <c r="BB75" s="30">
        <v>0.40069968602166423</v>
      </c>
      <c r="BC75" s="30">
        <v>1.699797322989955</v>
      </c>
      <c r="BD75" s="30">
        <v>0</v>
      </c>
      <c r="BE75" s="30">
        <v>9.1281945902944521</v>
      </c>
      <c r="BF75" s="30">
        <v>7.5231665611707976</v>
      </c>
      <c r="BG75" s="30">
        <v>16.651361151465249</v>
      </c>
      <c r="BH75" s="30">
        <v>5.3787664209562145</v>
      </c>
      <c r="BI75" s="30">
        <v>22.03012757242146</v>
      </c>
    </row>
    <row r="76" spans="1:61" ht="15.75" customHeight="1" x14ac:dyDescent="0.2">
      <c r="A76" s="3" t="s">
        <v>827</v>
      </c>
      <c r="B76" s="3" t="s">
        <v>103</v>
      </c>
      <c r="C76" s="3" t="s">
        <v>826</v>
      </c>
      <c r="D76" s="28" t="s">
        <v>692</v>
      </c>
      <c r="E76" s="28" t="s">
        <v>828</v>
      </c>
      <c r="F76" s="32">
        <v>2000</v>
      </c>
      <c r="G76" s="32">
        <v>260</v>
      </c>
      <c r="H76" s="161">
        <v>75</v>
      </c>
      <c r="I76" s="28">
        <v>27.299999999999997</v>
      </c>
      <c r="J76" s="28">
        <v>19.299999999999997</v>
      </c>
      <c r="K76" s="28">
        <v>59.477661926324018</v>
      </c>
      <c r="L76" s="28">
        <v>23.803341902313623</v>
      </c>
      <c r="M76" s="30">
        <v>0</v>
      </c>
      <c r="N76" s="30">
        <v>0.18237802862576774</v>
      </c>
      <c r="O76" s="30">
        <v>6.6050931725841657</v>
      </c>
      <c r="P76" s="30">
        <v>1</v>
      </c>
      <c r="Q76" s="30">
        <v>0.98099505182674629</v>
      </c>
      <c r="R76" s="30">
        <v>30.654133379482172</v>
      </c>
      <c r="S76" s="30">
        <v>0</v>
      </c>
      <c r="T76" s="30">
        <v>0</v>
      </c>
      <c r="U76" s="30">
        <v>33.400567136251688</v>
      </c>
      <c r="V76" s="32">
        <v>233.9413528475053</v>
      </c>
      <c r="W76" s="32">
        <v>862.36934635515104</v>
      </c>
      <c r="X76" s="32">
        <v>1060.5883421032611</v>
      </c>
      <c r="Y76" s="32">
        <v>522.37933267772576</v>
      </c>
      <c r="Z76" s="32">
        <v>1582.9676747809867</v>
      </c>
      <c r="AA76" s="32">
        <v>1101.8839974148455</v>
      </c>
      <c r="AB76" s="28">
        <v>0</v>
      </c>
      <c r="AC76" s="28">
        <v>0</v>
      </c>
      <c r="AD76" s="28">
        <v>0</v>
      </c>
      <c r="AE76" s="28">
        <v>4.515570850316367</v>
      </c>
      <c r="AF76" s="28">
        <v>1.5</v>
      </c>
      <c r="AG76" s="28">
        <v>2.6514883452258182</v>
      </c>
      <c r="AH76" s="28">
        <v>0</v>
      </c>
      <c r="AI76" s="32">
        <v>98.074983446418031</v>
      </c>
      <c r="AJ76" s="30">
        <v>0.68466639987312583</v>
      </c>
      <c r="AK76" s="32">
        <v>70.09999999999998</v>
      </c>
      <c r="AL76" s="32">
        <v>250.31137107022624</v>
      </c>
      <c r="AM76" s="32">
        <v>5</v>
      </c>
      <c r="AN76" s="32">
        <v>0</v>
      </c>
      <c r="AO76" s="32">
        <v>80.765692562955977</v>
      </c>
      <c r="AP76" s="32">
        <v>269.56684804697795</v>
      </c>
      <c r="AQ76" s="32">
        <v>0</v>
      </c>
      <c r="AR76" s="30">
        <v>0</v>
      </c>
      <c r="AS76" s="30">
        <v>18.36</v>
      </c>
      <c r="AT76" s="30">
        <v>0</v>
      </c>
      <c r="AU76" s="30">
        <v>1.4076000000000002</v>
      </c>
      <c r="AV76" s="30">
        <v>0</v>
      </c>
      <c r="AW76" s="30">
        <v>0</v>
      </c>
      <c r="AX76" s="30">
        <v>0.20043322965676255</v>
      </c>
      <c r="AY76" s="30">
        <v>11.736686543569128</v>
      </c>
      <c r="AZ76" s="30">
        <v>0</v>
      </c>
      <c r="BA76" s="30">
        <v>10.41188134493243</v>
      </c>
      <c r="BB76" s="30">
        <v>0.4531760320558475</v>
      </c>
      <c r="BC76" s="30">
        <v>1.9002305526467178</v>
      </c>
      <c r="BD76" s="30">
        <v>0</v>
      </c>
      <c r="BE76" s="30">
        <v>8.9279933379910759</v>
      </c>
      <c r="BF76" s="30">
        <v>7.3559615749754048</v>
      </c>
      <c r="BG76" s="30">
        <v>16.283954912966479</v>
      </c>
      <c r="BH76" s="30">
        <v>5.7461726594549827</v>
      </c>
      <c r="BI76" s="30">
        <v>22.03012757242146</v>
      </c>
    </row>
    <row r="77" spans="1:61" ht="15.75" customHeight="1" x14ac:dyDescent="0.2">
      <c r="A77" s="3" t="s">
        <v>827</v>
      </c>
      <c r="B77" s="3" t="s">
        <v>103</v>
      </c>
      <c r="C77" s="3" t="s">
        <v>826</v>
      </c>
      <c r="D77" s="28" t="s">
        <v>692</v>
      </c>
      <c r="E77" s="28" t="s">
        <v>828</v>
      </c>
      <c r="F77" s="32">
        <v>2000</v>
      </c>
      <c r="G77" s="32">
        <v>261</v>
      </c>
      <c r="H77" s="161">
        <v>76</v>
      </c>
      <c r="I77" s="28">
        <v>28</v>
      </c>
      <c r="J77" s="28">
        <v>20</v>
      </c>
      <c r="K77" s="28">
        <v>60.246892695554784</v>
      </c>
      <c r="L77" s="28">
        <v>23.803341902313623</v>
      </c>
      <c r="M77" s="30">
        <v>0</v>
      </c>
      <c r="N77" s="30">
        <v>0.21073816031934262</v>
      </c>
      <c r="O77" s="30">
        <v>6.4227151439583983</v>
      </c>
      <c r="P77" s="30">
        <v>1</v>
      </c>
      <c r="Q77" s="30">
        <v>0.97879734960264153</v>
      </c>
      <c r="R77" s="30">
        <v>25.816758893119271</v>
      </c>
      <c r="S77" s="30">
        <v>0</v>
      </c>
      <c r="T77" s="30">
        <v>0</v>
      </c>
      <c r="U77" s="30">
        <v>32.651296939840947</v>
      </c>
      <c r="V77" s="32">
        <v>233.9413528475053</v>
      </c>
      <c r="W77" s="32">
        <v>862.36934635515104</v>
      </c>
      <c r="X77" s="32">
        <v>1053.7538040565394</v>
      </c>
      <c r="Y77" s="32">
        <v>555.03062961756666</v>
      </c>
      <c r="Z77" s="32">
        <v>1608.7844336741059</v>
      </c>
      <c r="AA77" s="32">
        <v>1101.8839974148455</v>
      </c>
      <c r="AB77" s="28">
        <v>0</v>
      </c>
      <c r="AC77" s="28">
        <v>0</v>
      </c>
      <c r="AD77" s="28">
        <v>0</v>
      </c>
      <c r="AE77" s="28">
        <v>3.8651382540361272</v>
      </c>
      <c r="AF77" s="28">
        <v>1.5</v>
      </c>
      <c r="AG77" s="28">
        <v>2.7158848034856335</v>
      </c>
      <c r="AH77" s="28">
        <v>0</v>
      </c>
      <c r="AI77" s="32">
        <v>94.521563753952421</v>
      </c>
      <c r="AJ77" s="30">
        <v>0.65985979799989802</v>
      </c>
      <c r="AK77" s="32">
        <v>70.09999999999998</v>
      </c>
      <c r="AL77" s="32">
        <v>250.31137107022624</v>
      </c>
      <c r="AM77" s="32">
        <v>5</v>
      </c>
      <c r="AN77" s="32">
        <v>0</v>
      </c>
      <c r="AO77" s="32">
        <v>82.265692562955977</v>
      </c>
      <c r="AP77" s="32">
        <v>272.28273285046356</v>
      </c>
      <c r="AQ77" s="32">
        <v>0</v>
      </c>
      <c r="AR77" s="30">
        <v>0</v>
      </c>
      <c r="AS77" s="30">
        <v>18.36</v>
      </c>
      <c r="AT77" s="30">
        <v>0</v>
      </c>
      <c r="AU77" s="30">
        <v>1.4076000000000002</v>
      </c>
      <c r="AV77" s="30">
        <v>0</v>
      </c>
      <c r="AW77" s="30">
        <v>0</v>
      </c>
      <c r="AX77" s="30">
        <v>0.19736378891733861</v>
      </c>
      <c r="AY77" s="30">
        <v>11.934050332486466</v>
      </c>
      <c r="AZ77" s="30">
        <v>0</v>
      </c>
      <c r="BA77" s="30">
        <v>10.41188134493243</v>
      </c>
      <c r="BB77" s="30">
        <v>0.50728293111792044</v>
      </c>
      <c r="BC77" s="30">
        <v>2.0975943415640561</v>
      </c>
      <c r="BD77" s="30">
        <v>0</v>
      </c>
      <c r="BE77" s="30">
        <v>8.7315905507846718</v>
      </c>
      <c r="BF77" s="30">
        <v>7.1932000958435589</v>
      </c>
      <c r="BG77" s="30">
        <v>15.924790646628232</v>
      </c>
      <c r="BH77" s="30">
        <v>6.1053369257932335</v>
      </c>
      <c r="BI77" s="30">
        <v>22.03012757242146</v>
      </c>
    </row>
    <row r="78" spans="1:61" ht="15.75" customHeight="1" x14ac:dyDescent="0.2">
      <c r="A78" s="3" t="s">
        <v>827</v>
      </c>
      <c r="B78" s="3" t="s">
        <v>103</v>
      </c>
      <c r="C78" s="3" t="s">
        <v>826</v>
      </c>
      <c r="D78" s="28" t="s">
        <v>692</v>
      </c>
      <c r="E78" s="28" t="s">
        <v>828</v>
      </c>
      <c r="F78" s="32">
        <v>2000</v>
      </c>
      <c r="G78" s="32">
        <v>262</v>
      </c>
      <c r="H78" s="161">
        <v>77</v>
      </c>
      <c r="I78" s="28">
        <v>27.2</v>
      </c>
      <c r="J78" s="28">
        <v>19.2</v>
      </c>
      <c r="K78" s="28">
        <v>60.98535423401632</v>
      </c>
      <c r="L78" s="28">
        <v>23.803341902313623</v>
      </c>
      <c r="M78" s="30">
        <v>0</v>
      </c>
      <c r="N78" s="30">
        <v>0.20673977600674115</v>
      </c>
      <c r="O78" s="30">
        <v>6.2119769836390555</v>
      </c>
      <c r="P78" s="30">
        <v>1</v>
      </c>
      <c r="Q78" s="30">
        <v>0.97593955781518948</v>
      </c>
      <c r="R78" s="30">
        <v>23.445971936952109</v>
      </c>
      <c r="S78" s="30">
        <v>0</v>
      </c>
      <c r="T78" s="30">
        <v>0</v>
      </c>
      <c r="U78" s="30">
        <v>32.572316402414351</v>
      </c>
      <c r="V78" s="32">
        <v>233.9413528475053</v>
      </c>
      <c r="W78" s="32">
        <v>862.36934635515104</v>
      </c>
      <c r="X78" s="32">
        <v>1044.6274595910772</v>
      </c>
      <c r="Y78" s="32">
        <v>587.602946019981</v>
      </c>
      <c r="Z78" s="32">
        <v>1632.2304056110584</v>
      </c>
      <c r="AA78" s="32">
        <v>1101.8839974148455</v>
      </c>
      <c r="AB78" s="28">
        <v>1.8</v>
      </c>
      <c r="AC78" s="28">
        <v>0</v>
      </c>
      <c r="AD78" s="28">
        <v>0</v>
      </c>
      <c r="AE78" s="28">
        <v>3.466765788247816</v>
      </c>
      <c r="AF78" s="28">
        <v>0.62132034355964272</v>
      </c>
      <c r="AG78" s="28">
        <v>2.0877232587008634</v>
      </c>
      <c r="AH78" s="28">
        <v>0</v>
      </c>
      <c r="AI78" s="32">
        <v>93.276707806911517</v>
      </c>
      <c r="AJ78" s="30">
        <v>0.65116939592517531</v>
      </c>
      <c r="AK78" s="32">
        <v>71.899999999999977</v>
      </c>
      <c r="AL78" s="32">
        <v>250.31137107022624</v>
      </c>
      <c r="AM78" s="32">
        <v>5</v>
      </c>
      <c r="AN78" s="32">
        <v>0</v>
      </c>
      <c r="AO78" s="32">
        <v>82.887012906515622</v>
      </c>
      <c r="AP78" s="32">
        <v>274.37045610916442</v>
      </c>
      <c r="AQ78" s="32">
        <v>0</v>
      </c>
      <c r="AR78" s="30">
        <v>0</v>
      </c>
      <c r="AS78" s="30">
        <v>18.36</v>
      </c>
      <c r="AT78" s="30">
        <v>0</v>
      </c>
      <c r="AU78" s="30">
        <v>1.4076000000000002</v>
      </c>
      <c r="AV78" s="30">
        <v>0</v>
      </c>
      <c r="AW78" s="30">
        <v>0</v>
      </c>
      <c r="AX78" s="30">
        <v>0.1841702776720831</v>
      </c>
      <c r="AY78" s="30">
        <v>12.118220610158549</v>
      </c>
      <c r="AZ78" s="30">
        <v>0</v>
      </c>
      <c r="BA78" s="30">
        <v>10.41188134493243</v>
      </c>
      <c r="BB78" s="30">
        <v>0.57502883108270497</v>
      </c>
      <c r="BC78" s="30">
        <v>2.2817646192361396</v>
      </c>
      <c r="BD78" s="30">
        <v>0</v>
      </c>
      <c r="BE78" s="30">
        <v>8.5353254859671868</v>
      </c>
      <c r="BF78" s="30">
        <v>7.0311696802344859</v>
      </c>
      <c r="BG78" s="30">
        <v>15.566495166201673</v>
      </c>
      <c r="BH78" s="30">
        <v>6.4636324062197916</v>
      </c>
      <c r="BI78" s="30">
        <v>22.03012757242146</v>
      </c>
    </row>
    <row r="79" spans="1:61" ht="15.75" customHeight="1" x14ac:dyDescent="0.2">
      <c r="A79" s="3" t="s">
        <v>827</v>
      </c>
      <c r="B79" s="3" t="s">
        <v>103</v>
      </c>
      <c r="C79" s="3" t="s">
        <v>826</v>
      </c>
      <c r="D79" s="28" t="s">
        <v>692</v>
      </c>
      <c r="E79" s="28" t="s">
        <v>828</v>
      </c>
      <c r="F79" s="32">
        <v>2000</v>
      </c>
      <c r="G79" s="32">
        <v>263</v>
      </c>
      <c r="H79" s="161">
        <v>78</v>
      </c>
      <c r="I79" s="28">
        <v>25.6</v>
      </c>
      <c r="J79" s="28">
        <v>17.600000000000001</v>
      </c>
      <c r="K79" s="28">
        <v>61.662277310939395</v>
      </c>
      <c r="L79" s="28">
        <v>23.803341902313623</v>
      </c>
      <c r="M79" s="30">
        <v>0</v>
      </c>
      <c r="N79" s="30">
        <v>0.20659480507103639</v>
      </c>
      <c r="O79" s="30">
        <v>6.0052372076323142</v>
      </c>
      <c r="P79" s="30">
        <v>1</v>
      </c>
      <c r="Q79" s="30">
        <v>0.97276200279854141</v>
      </c>
      <c r="R79" s="30">
        <v>24.513602470523242</v>
      </c>
      <c r="S79" s="30">
        <v>0</v>
      </c>
      <c r="T79" s="30">
        <v>0</v>
      </c>
      <c r="U79" s="30">
        <v>33.676057010612084</v>
      </c>
      <c r="V79" s="32">
        <v>233.9413528475053</v>
      </c>
      <c r="W79" s="32">
        <v>862.36934635515104</v>
      </c>
      <c r="X79" s="32">
        <v>1035.4650050509883</v>
      </c>
      <c r="Y79" s="32">
        <v>621.27900303059312</v>
      </c>
      <c r="Z79" s="32">
        <v>1656.7440080815813</v>
      </c>
      <c r="AA79" s="32">
        <v>1101.8839974148455</v>
      </c>
      <c r="AB79" s="28">
        <v>4.9000000000000004</v>
      </c>
      <c r="AC79" s="28">
        <v>0</v>
      </c>
      <c r="AD79" s="28">
        <v>0</v>
      </c>
      <c r="AE79" s="28">
        <v>3.5365927954079344</v>
      </c>
      <c r="AF79" s="28">
        <v>0.47675586779367307</v>
      </c>
      <c r="AG79" s="28">
        <v>2.1458500557699196</v>
      </c>
      <c r="AH79" s="28">
        <v>0</v>
      </c>
      <c r="AI79" s="32">
        <v>95.699662945349047</v>
      </c>
      <c r="AJ79" s="30">
        <v>0.66808416780066016</v>
      </c>
      <c r="AK79" s="32">
        <v>76.799999999999983</v>
      </c>
      <c r="AL79" s="32">
        <v>250.31137107022624</v>
      </c>
      <c r="AM79" s="32">
        <v>5</v>
      </c>
      <c r="AN79" s="32">
        <v>0</v>
      </c>
      <c r="AO79" s="32">
        <v>83.363768774309293</v>
      </c>
      <c r="AP79" s="32">
        <v>276.51630616493435</v>
      </c>
      <c r="AQ79" s="32">
        <v>0</v>
      </c>
      <c r="AR79" s="30">
        <v>0</v>
      </c>
      <c r="AS79" s="30">
        <v>18.36</v>
      </c>
      <c r="AT79" s="30">
        <v>0</v>
      </c>
      <c r="AU79" s="30">
        <v>1.4076000000000002</v>
      </c>
      <c r="AV79" s="30">
        <v>0</v>
      </c>
      <c r="AW79" s="30">
        <v>0</v>
      </c>
      <c r="AX79" s="30">
        <v>0.17873385422230229</v>
      </c>
      <c r="AY79" s="30">
        <v>12.296954464380851</v>
      </c>
      <c r="AZ79" s="30">
        <v>0</v>
      </c>
      <c r="BA79" s="30">
        <v>10.41188134493243</v>
      </c>
      <c r="BB79" s="30">
        <v>0.66797018856165979</v>
      </c>
      <c r="BC79" s="30">
        <v>2.4604984734584421</v>
      </c>
      <c r="BD79" s="30">
        <v>0</v>
      </c>
      <c r="BE79" s="30">
        <v>8.3324710001442917</v>
      </c>
      <c r="BF79" s="30">
        <v>6.8635875389406484</v>
      </c>
      <c r="BG79" s="30">
        <v>15.196058539084941</v>
      </c>
      <c r="BH79" s="30">
        <v>6.8340690333365242</v>
      </c>
      <c r="BI79" s="30">
        <v>22.03012757242146</v>
      </c>
    </row>
    <row r="80" spans="1:61" ht="15.75" customHeight="1" x14ac:dyDescent="0.2">
      <c r="A80" s="3" t="s">
        <v>827</v>
      </c>
      <c r="B80" s="3" t="s">
        <v>103</v>
      </c>
      <c r="C80" s="3" t="s">
        <v>826</v>
      </c>
      <c r="D80" s="28" t="s">
        <v>692</v>
      </c>
      <c r="E80" s="28" t="s">
        <v>828</v>
      </c>
      <c r="F80" s="32">
        <v>2000</v>
      </c>
      <c r="G80" s="32">
        <v>264</v>
      </c>
      <c r="H80" s="161">
        <v>79</v>
      </c>
      <c r="I80" s="28">
        <v>25.4</v>
      </c>
      <c r="J80" s="28">
        <v>17.399999999999999</v>
      </c>
      <c r="K80" s="28">
        <v>62.331508080170167</v>
      </c>
      <c r="L80" s="28">
        <v>23.803341902313623</v>
      </c>
      <c r="M80" s="30">
        <v>0</v>
      </c>
      <c r="N80" s="30">
        <v>0.21353103770831128</v>
      </c>
      <c r="O80" s="30">
        <v>5.7986424025612777</v>
      </c>
      <c r="P80" s="30">
        <v>1</v>
      </c>
      <c r="Q80" s="30">
        <v>0.96916748430664312</v>
      </c>
      <c r="R80" s="30">
        <v>30.284545549613984</v>
      </c>
      <c r="S80" s="30">
        <v>0</v>
      </c>
      <c r="T80" s="30">
        <v>0</v>
      </c>
      <c r="U80" s="30">
        <v>36.662132885573172</v>
      </c>
      <c r="V80" s="32">
        <v>233.9413528475053</v>
      </c>
      <c r="W80" s="32">
        <v>862.36934635515104</v>
      </c>
      <c r="X80" s="32">
        <v>1029.0874177150292</v>
      </c>
      <c r="Y80" s="32">
        <v>657.94113591616633</v>
      </c>
      <c r="Z80" s="32">
        <v>1687.0285536311956</v>
      </c>
      <c r="AA80" s="32">
        <v>1101.8839974148455</v>
      </c>
      <c r="AB80" s="28">
        <v>0</v>
      </c>
      <c r="AC80" s="28">
        <v>0</v>
      </c>
      <c r="AD80" s="28">
        <v>0</v>
      </c>
      <c r="AE80" s="28">
        <v>4.3790240524516664</v>
      </c>
      <c r="AF80" s="28">
        <v>0.40192378864668421</v>
      </c>
      <c r="AG80" s="28">
        <v>3.1206370194715545</v>
      </c>
      <c r="AH80" s="28">
        <v>0</v>
      </c>
      <c r="AI80" s="32">
        <v>92.364096221282352</v>
      </c>
      <c r="AJ80" s="30">
        <v>0.64479840847396053</v>
      </c>
      <c r="AK80" s="32">
        <v>76.799999999999983</v>
      </c>
      <c r="AL80" s="32">
        <v>250.31137107022624</v>
      </c>
      <c r="AM80" s="32">
        <v>5</v>
      </c>
      <c r="AN80" s="32">
        <v>0</v>
      </c>
      <c r="AO80" s="32">
        <v>83.765692562955977</v>
      </c>
      <c r="AP80" s="32">
        <v>279.63694318440588</v>
      </c>
      <c r="AQ80" s="32">
        <v>0</v>
      </c>
      <c r="AR80" s="30">
        <v>0</v>
      </c>
      <c r="AS80" s="30">
        <v>18.36</v>
      </c>
      <c r="AT80" s="30">
        <v>0</v>
      </c>
      <c r="AU80" s="30">
        <v>1.4076000000000002</v>
      </c>
      <c r="AV80" s="30">
        <v>0</v>
      </c>
      <c r="AW80" s="30">
        <v>0</v>
      </c>
      <c r="AX80" s="30">
        <v>0.16710738574852116</v>
      </c>
      <c r="AY80" s="30">
        <v>12.464061850129372</v>
      </c>
      <c r="AZ80" s="30">
        <v>0</v>
      </c>
      <c r="BA80" s="30">
        <v>10.41188134493243</v>
      </c>
      <c r="BB80" s="30">
        <v>0.70648282458299971</v>
      </c>
      <c r="BC80" s="30">
        <v>2.6276058592069629</v>
      </c>
      <c r="BD80" s="30">
        <v>0</v>
      </c>
      <c r="BE80" s="30">
        <v>8.1115162458092644</v>
      </c>
      <c r="BF80" s="30">
        <v>6.6812588315343699</v>
      </c>
      <c r="BG80" s="30">
        <v>14.792775077343634</v>
      </c>
      <c r="BH80" s="30">
        <v>7.237352495077829</v>
      </c>
      <c r="BI80" s="30">
        <v>22.03012757242146</v>
      </c>
    </row>
    <row r="81" spans="1:61" ht="15.75" customHeight="1" x14ac:dyDescent="0.2">
      <c r="A81" s="3" t="s">
        <v>827</v>
      </c>
      <c r="B81" s="3" t="s">
        <v>103</v>
      </c>
      <c r="C81" s="3" t="s">
        <v>826</v>
      </c>
      <c r="D81" s="28" t="s">
        <v>692</v>
      </c>
      <c r="E81" s="28" t="s">
        <v>828</v>
      </c>
      <c r="F81" s="32">
        <v>2000</v>
      </c>
      <c r="G81" s="32">
        <v>265</v>
      </c>
      <c r="H81" s="161">
        <v>80</v>
      </c>
      <c r="I81" s="28">
        <v>25.799999999999997</v>
      </c>
      <c r="J81" s="28">
        <v>17.799999999999997</v>
      </c>
      <c r="K81" s="28">
        <v>63.016123464785551</v>
      </c>
      <c r="L81" s="28">
        <v>23.803341902313623</v>
      </c>
      <c r="M81" s="30">
        <v>0</v>
      </c>
      <c r="N81" s="30">
        <v>0.23258395193160711</v>
      </c>
      <c r="O81" s="30">
        <v>5.5851113648529669</v>
      </c>
      <c r="P81" s="30">
        <v>1</v>
      </c>
      <c r="Q81" s="30">
        <v>0.96495305459391789</v>
      </c>
      <c r="R81" s="30">
        <v>26.748498673343402</v>
      </c>
      <c r="S81" s="30">
        <v>0</v>
      </c>
      <c r="T81" s="30">
        <v>0</v>
      </c>
      <c r="U81" s="30">
        <v>36.138570267172014</v>
      </c>
      <c r="V81" s="32">
        <v>233.9413528475053</v>
      </c>
      <c r="W81" s="32">
        <v>862.36934635515104</v>
      </c>
      <c r="X81" s="32">
        <v>1019.6973461212007</v>
      </c>
      <c r="Y81" s="32">
        <v>694.07970618333832</v>
      </c>
      <c r="Z81" s="32">
        <v>1713.777052304539</v>
      </c>
      <c r="AA81" s="32">
        <v>1101.8839974148455</v>
      </c>
      <c r="AB81" s="28">
        <v>0</v>
      </c>
      <c r="AC81" s="28">
        <v>0</v>
      </c>
      <c r="AD81" s="28">
        <v>0</v>
      </c>
      <c r="AE81" s="28">
        <v>3.9099709486088581</v>
      </c>
      <c r="AF81" s="28">
        <v>0.35410196624968471</v>
      </c>
      <c r="AG81" s="28">
        <v>2.6641829574139302</v>
      </c>
      <c r="AH81" s="28">
        <v>0</v>
      </c>
      <c r="AI81" s="32">
        <v>89.50830240783074</v>
      </c>
      <c r="AJ81" s="30">
        <v>0.62486196800436733</v>
      </c>
      <c r="AK81" s="32">
        <v>76.799999999999983</v>
      </c>
      <c r="AL81" s="32">
        <v>250.31137107022624</v>
      </c>
      <c r="AM81" s="32">
        <v>5</v>
      </c>
      <c r="AN81" s="32">
        <v>0</v>
      </c>
      <c r="AO81" s="32">
        <v>84.119794529205663</v>
      </c>
      <c r="AP81" s="32">
        <v>282.30112614181979</v>
      </c>
      <c r="AQ81" s="32">
        <v>0</v>
      </c>
      <c r="AR81" s="30">
        <v>0</v>
      </c>
      <c r="AS81" s="30">
        <v>18.36</v>
      </c>
      <c r="AT81" s="30">
        <v>0</v>
      </c>
      <c r="AU81" s="30">
        <v>1.4076000000000002</v>
      </c>
      <c r="AV81" s="30">
        <v>0</v>
      </c>
      <c r="AW81" s="30">
        <v>0</v>
      </c>
      <c r="AX81" s="30">
        <v>0.16367496077238775</v>
      </c>
      <c r="AY81" s="30">
        <v>12.62773681090176</v>
      </c>
      <c r="AZ81" s="30">
        <v>0</v>
      </c>
      <c r="BA81" s="30">
        <v>10.41188134493243</v>
      </c>
      <c r="BB81" s="30">
        <v>0.74375242918401008</v>
      </c>
      <c r="BC81" s="30">
        <v>2.7912808199793506</v>
      </c>
      <c r="BD81" s="30">
        <v>0</v>
      </c>
      <c r="BE81" s="30">
        <v>7.8932746606267239</v>
      </c>
      <c r="BF81" s="30">
        <v>6.5019761437780179</v>
      </c>
      <c r="BG81" s="30">
        <v>14.395250804404743</v>
      </c>
      <c r="BH81" s="30">
        <v>7.6348767680167207</v>
      </c>
      <c r="BI81" s="30">
        <v>22.03012757242146</v>
      </c>
    </row>
    <row r="82" spans="1:61" ht="15.75" customHeight="1" x14ac:dyDescent="0.2">
      <c r="A82" s="3" t="s">
        <v>827</v>
      </c>
      <c r="B82" s="3" t="s">
        <v>103</v>
      </c>
      <c r="C82" s="3" t="s">
        <v>826</v>
      </c>
      <c r="D82" s="28" t="s">
        <v>692</v>
      </c>
      <c r="E82" s="28" t="s">
        <v>828</v>
      </c>
      <c r="F82" s="32">
        <v>2000</v>
      </c>
      <c r="G82" s="32">
        <v>266</v>
      </c>
      <c r="H82" s="161">
        <v>81</v>
      </c>
      <c r="I82" s="28">
        <v>26.7</v>
      </c>
      <c r="J82" s="28">
        <v>18.7</v>
      </c>
      <c r="K82" s="28">
        <v>63.73535423401632</v>
      </c>
      <c r="L82" s="28">
        <v>23.803341902313623</v>
      </c>
      <c r="M82" s="30">
        <v>0</v>
      </c>
      <c r="N82" s="30">
        <v>0.22972798440267411</v>
      </c>
      <c r="O82" s="30">
        <v>5.3525274129213596</v>
      </c>
      <c r="P82" s="30">
        <v>1</v>
      </c>
      <c r="Q82" s="30">
        <v>0.95970453904461106</v>
      </c>
      <c r="R82" s="30">
        <v>35.954370850767312</v>
      </c>
      <c r="S82" s="30">
        <v>0</v>
      </c>
      <c r="T82" s="30">
        <v>0</v>
      </c>
      <c r="U82" s="30">
        <v>40.807491541890357</v>
      </c>
      <c r="V82" s="32">
        <v>233.9413528475053</v>
      </c>
      <c r="W82" s="32">
        <v>862.36934635515104</v>
      </c>
      <c r="X82" s="32">
        <v>1014.8442254300776</v>
      </c>
      <c r="Y82" s="32">
        <v>734.8871977252287</v>
      </c>
      <c r="Z82" s="32">
        <v>1749.7314231553064</v>
      </c>
      <c r="AA82" s="32">
        <v>1101.8839974148455</v>
      </c>
      <c r="AB82" s="28">
        <v>0</v>
      </c>
      <c r="AC82" s="28">
        <v>0</v>
      </c>
      <c r="AD82" s="28">
        <v>0</v>
      </c>
      <c r="AE82" s="28">
        <v>5.3719504361742336</v>
      </c>
      <c r="AF82" s="28">
        <v>0.32013264792508211</v>
      </c>
      <c r="AG82" s="28">
        <v>3.8556284785756767</v>
      </c>
      <c r="AH82" s="28">
        <v>0</v>
      </c>
      <c r="AI82" s="32">
        <v>85.572304561498839</v>
      </c>
      <c r="AJ82" s="30">
        <v>0.59738456876698953</v>
      </c>
      <c r="AK82" s="32">
        <v>76.799999999999983</v>
      </c>
      <c r="AL82" s="32">
        <v>250.31137107022624</v>
      </c>
      <c r="AM82" s="32">
        <v>5</v>
      </c>
      <c r="AN82" s="32">
        <v>0</v>
      </c>
      <c r="AO82" s="32">
        <v>84.439927177130741</v>
      </c>
      <c r="AP82" s="32">
        <v>286.15675462039547</v>
      </c>
      <c r="AQ82" s="32">
        <v>0</v>
      </c>
      <c r="AR82" s="30">
        <v>0</v>
      </c>
      <c r="AS82" s="30">
        <v>18.36</v>
      </c>
      <c r="AT82" s="30">
        <v>0</v>
      </c>
      <c r="AU82" s="30">
        <v>1.4076000000000002</v>
      </c>
      <c r="AV82" s="30">
        <v>0</v>
      </c>
      <c r="AW82" s="30">
        <v>0</v>
      </c>
      <c r="AX82" s="30">
        <v>0.16370562458367338</v>
      </c>
      <c r="AY82" s="30">
        <v>12.791442435485434</v>
      </c>
      <c r="AZ82" s="30">
        <v>0</v>
      </c>
      <c r="BA82" s="30">
        <v>10.41188134493243</v>
      </c>
      <c r="BB82" s="30">
        <v>0.77226052215476337</v>
      </c>
      <c r="BC82" s="30">
        <v>2.9549864445630245</v>
      </c>
      <c r="BD82" s="30">
        <v>0</v>
      </c>
      <c r="BE82" s="30">
        <v>7.6465146232118091</v>
      </c>
      <c r="BF82" s="30">
        <v>6.2998537742321394</v>
      </c>
      <c r="BG82" s="30">
        <v>13.946368397443948</v>
      </c>
      <c r="BH82" s="30">
        <v>8.083759174977514</v>
      </c>
      <c r="BI82" s="30">
        <v>22.03012757242146</v>
      </c>
    </row>
    <row r="83" spans="1:61" ht="15.75" customHeight="1" x14ac:dyDescent="0.2">
      <c r="A83" s="3" t="s">
        <v>827</v>
      </c>
      <c r="B83" s="3" t="s">
        <v>103</v>
      </c>
      <c r="C83" s="3" t="s">
        <v>826</v>
      </c>
      <c r="D83" s="28" t="s">
        <v>692</v>
      </c>
      <c r="E83" s="28" t="s">
        <v>828</v>
      </c>
      <c r="F83" s="32">
        <v>2000</v>
      </c>
      <c r="G83" s="32">
        <v>267</v>
      </c>
      <c r="H83" s="161">
        <v>82</v>
      </c>
      <c r="I83" s="28">
        <v>26.700000000000003</v>
      </c>
      <c r="J83" s="28">
        <v>18.700000000000003</v>
      </c>
      <c r="K83" s="28">
        <v>64.45458500324709</v>
      </c>
      <c r="L83" s="28">
        <v>23.803341902313623</v>
      </c>
      <c r="M83" s="30">
        <v>0</v>
      </c>
      <c r="N83" s="30">
        <v>0.25974740780517386</v>
      </c>
      <c r="O83" s="30">
        <v>5.1227994285186851</v>
      </c>
      <c r="P83" s="30">
        <v>1</v>
      </c>
      <c r="Q83" s="30">
        <v>0.9537493451919119</v>
      </c>
      <c r="R83" s="30">
        <v>37.493794258184437</v>
      </c>
      <c r="S83" s="30">
        <v>0</v>
      </c>
      <c r="T83" s="30">
        <v>0</v>
      </c>
      <c r="U83" s="30">
        <v>42.555771849639825</v>
      </c>
      <c r="V83" s="32">
        <v>233.9413528475053</v>
      </c>
      <c r="W83" s="32">
        <v>862.36934635515104</v>
      </c>
      <c r="X83" s="32">
        <v>1009.7822478386222</v>
      </c>
      <c r="Y83" s="32">
        <v>777.44296957486858</v>
      </c>
      <c r="Z83" s="32">
        <v>1787.2252174134908</v>
      </c>
      <c r="AA83" s="32">
        <v>1101.8839974148455</v>
      </c>
      <c r="AB83" s="28">
        <v>0</v>
      </c>
      <c r="AC83" s="28">
        <v>0</v>
      </c>
      <c r="AD83" s="28">
        <v>0</v>
      </c>
      <c r="AE83" s="28">
        <v>5.6409295309927332</v>
      </c>
      <c r="AF83" s="28">
        <v>0.29439235242211925</v>
      </c>
      <c r="AG83" s="28">
        <v>4.240407526061543</v>
      </c>
      <c r="AH83" s="28">
        <v>0</v>
      </c>
      <c r="AI83" s="32">
        <v>81.306808172967365</v>
      </c>
      <c r="AJ83" s="30">
        <v>0.56760692360834208</v>
      </c>
      <c r="AK83" s="32">
        <v>76.799999999999983</v>
      </c>
      <c r="AL83" s="32">
        <v>250.31137107022624</v>
      </c>
      <c r="AM83" s="32">
        <v>5</v>
      </c>
      <c r="AN83" s="32">
        <v>0</v>
      </c>
      <c r="AO83" s="32">
        <v>84.734319529552863</v>
      </c>
      <c r="AP83" s="32">
        <v>290.39716214645699</v>
      </c>
      <c r="AQ83" s="32">
        <v>0</v>
      </c>
      <c r="AR83" s="30">
        <v>0</v>
      </c>
      <c r="AS83" s="30">
        <v>18.36</v>
      </c>
      <c r="AT83" s="30">
        <v>0</v>
      </c>
      <c r="AU83" s="30">
        <v>1.4076000000000002</v>
      </c>
      <c r="AV83" s="30">
        <v>0</v>
      </c>
      <c r="AW83" s="30">
        <v>0</v>
      </c>
      <c r="AX83" s="30">
        <v>0.15264935230618029</v>
      </c>
      <c r="AY83" s="30">
        <v>12.944091787791615</v>
      </c>
      <c r="AZ83" s="30">
        <v>0</v>
      </c>
      <c r="BA83" s="30">
        <v>10.41188134493243</v>
      </c>
      <c r="BB83" s="30">
        <v>0.7918894137955117</v>
      </c>
      <c r="BC83" s="30">
        <v>3.1076357968692045</v>
      </c>
      <c r="BD83" s="30">
        <v>0</v>
      </c>
      <c r="BE83" s="30">
        <v>7.3885934781893114</v>
      </c>
      <c r="BF83" s="30">
        <v>6.0896614289085997</v>
      </c>
      <c r="BG83" s="30">
        <v>13.478254907097911</v>
      </c>
      <c r="BH83" s="30">
        <v>8.5518726653235522</v>
      </c>
      <c r="BI83" s="30">
        <v>22.03012757242146</v>
      </c>
    </row>
    <row r="84" spans="1:61" ht="15.75" customHeight="1" x14ac:dyDescent="0.2">
      <c r="A84" s="3" t="s">
        <v>827</v>
      </c>
      <c r="B84" s="3" t="s">
        <v>103</v>
      </c>
      <c r="C84" s="3" t="s">
        <v>826</v>
      </c>
      <c r="D84" s="28" t="s">
        <v>692</v>
      </c>
      <c r="E84" s="28" t="s">
        <v>828</v>
      </c>
      <c r="F84" s="32">
        <v>2000</v>
      </c>
      <c r="G84" s="32">
        <v>268</v>
      </c>
      <c r="H84" s="161">
        <v>83</v>
      </c>
      <c r="I84" s="28">
        <v>23.7</v>
      </c>
      <c r="J84" s="28">
        <v>15.7</v>
      </c>
      <c r="K84" s="28">
        <v>65.058431157093239</v>
      </c>
      <c r="L84" s="28">
        <v>23.803341902313623</v>
      </c>
      <c r="M84" s="30">
        <v>0</v>
      </c>
      <c r="N84" s="30">
        <v>0.27149594212894512</v>
      </c>
      <c r="O84" s="30">
        <v>4.8630520207135115</v>
      </c>
      <c r="P84" s="30">
        <v>0.91333333333333333</v>
      </c>
      <c r="Q84" s="30">
        <v>0.94594921505486096</v>
      </c>
      <c r="R84" s="30">
        <v>26.852092798233304</v>
      </c>
      <c r="S84" s="30">
        <v>0</v>
      </c>
      <c r="T84" s="30">
        <v>0</v>
      </c>
      <c r="U84" s="30">
        <v>38.891820020407351</v>
      </c>
      <c r="V84" s="32">
        <v>233.9413528475053</v>
      </c>
      <c r="W84" s="32">
        <v>862.36934635515104</v>
      </c>
      <c r="X84" s="32">
        <v>997.74252061644825</v>
      </c>
      <c r="Y84" s="32">
        <v>816.33478959527588</v>
      </c>
      <c r="Z84" s="32">
        <v>1814.0773102117241</v>
      </c>
      <c r="AA84" s="32">
        <v>1101.8839974148455</v>
      </c>
      <c r="AB84" s="28">
        <v>0.8</v>
      </c>
      <c r="AC84" s="28">
        <v>0</v>
      </c>
      <c r="AD84" s="28">
        <v>0</v>
      </c>
      <c r="AE84" s="28">
        <v>4.2007176312339958</v>
      </c>
      <c r="AF84" s="28">
        <v>0.27401372052239936</v>
      </c>
      <c r="AG84" s="28">
        <v>1.6609761618889223</v>
      </c>
      <c r="AH84" s="28">
        <v>0</v>
      </c>
      <c r="AI84" s="32">
        <v>80.279381729278796</v>
      </c>
      <c r="AJ84" s="30">
        <v>0.56043440784932574</v>
      </c>
      <c r="AK84" s="32">
        <v>77.59999999999998</v>
      </c>
      <c r="AL84" s="32">
        <v>250.31137107022624</v>
      </c>
      <c r="AM84" s="32">
        <v>5</v>
      </c>
      <c r="AN84" s="32">
        <v>0</v>
      </c>
      <c r="AO84" s="32">
        <v>85.008333250075268</v>
      </c>
      <c r="AP84" s="32">
        <v>292.05813830834592</v>
      </c>
      <c r="AQ84" s="32">
        <v>0</v>
      </c>
      <c r="AR84" s="30">
        <v>0</v>
      </c>
      <c r="AS84" s="30">
        <v>18.36</v>
      </c>
      <c r="AT84" s="30">
        <v>0</v>
      </c>
      <c r="AU84" s="30">
        <v>1.4076000000000002</v>
      </c>
      <c r="AV84" s="30">
        <v>0</v>
      </c>
      <c r="AW84" s="30">
        <v>0</v>
      </c>
      <c r="AX84" s="30">
        <v>0.12162430156505522</v>
      </c>
      <c r="AY84" s="30">
        <v>13.06571608935667</v>
      </c>
      <c r="AZ84" s="30">
        <v>0</v>
      </c>
      <c r="BA84" s="30">
        <v>10.41188134493243</v>
      </c>
      <c r="BB84" s="30">
        <v>0.82558293997869714</v>
      </c>
      <c r="BC84" s="30">
        <v>3.2292600984342594</v>
      </c>
      <c r="BD84" s="30">
        <v>0</v>
      </c>
      <c r="BE84" s="30">
        <v>7.1520126105630695</v>
      </c>
      <c r="BF84" s="30">
        <v>5.8984322763103609</v>
      </c>
      <c r="BG84" s="30">
        <v>13.05044488687343</v>
      </c>
      <c r="BH84" s="30">
        <v>8.9796826855480329</v>
      </c>
      <c r="BI84" s="30">
        <v>22.03012757242146</v>
      </c>
    </row>
    <row r="85" spans="1:61" ht="15.75" customHeight="1" x14ac:dyDescent="0.2">
      <c r="A85" s="3" t="s">
        <v>827</v>
      </c>
      <c r="B85" s="3" t="s">
        <v>103</v>
      </c>
      <c r="C85" s="3" t="s">
        <v>826</v>
      </c>
      <c r="D85" s="28" t="s">
        <v>692</v>
      </c>
      <c r="E85" s="28" t="s">
        <v>828</v>
      </c>
      <c r="F85" s="32">
        <v>2000</v>
      </c>
      <c r="G85" s="32">
        <v>269</v>
      </c>
      <c r="H85" s="161">
        <v>84</v>
      </c>
      <c r="I85" s="28">
        <v>22.7</v>
      </c>
      <c r="J85" s="28">
        <v>14.7</v>
      </c>
      <c r="K85" s="28">
        <v>65.623815772477855</v>
      </c>
      <c r="L85" s="28">
        <v>23.803341902313623</v>
      </c>
      <c r="M85" s="30">
        <v>0</v>
      </c>
      <c r="N85" s="30">
        <v>0.24903249223814949</v>
      </c>
      <c r="O85" s="30">
        <v>4.5915560785845662</v>
      </c>
      <c r="P85" s="30">
        <v>0.84666666666666657</v>
      </c>
      <c r="Q85" s="30">
        <v>0.93638675955150563</v>
      </c>
      <c r="R85" s="30">
        <v>15.583423363396918</v>
      </c>
      <c r="S85" s="30">
        <v>0</v>
      </c>
      <c r="T85" s="30">
        <v>0</v>
      </c>
      <c r="U85" s="30">
        <v>34.457451517155427</v>
      </c>
      <c r="V85" s="32">
        <v>233.9413528475053</v>
      </c>
      <c r="W85" s="32">
        <v>862.36934635515104</v>
      </c>
      <c r="X85" s="32">
        <v>978.8684924626898</v>
      </c>
      <c r="Y85" s="32">
        <v>850.79224111243127</v>
      </c>
      <c r="Z85" s="32">
        <v>1829.660733575121</v>
      </c>
      <c r="AA85" s="32">
        <v>1101.8839974148455</v>
      </c>
      <c r="AB85" s="28">
        <v>0.6</v>
      </c>
      <c r="AC85" s="28">
        <v>0</v>
      </c>
      <c r="AD85" s="28">
        <v>0</v>
      </c>
      <c r="AE85" s="28">
        <v>2.6346976102618322</v>
      </c>
      <c r="AF85" s="28">
        <v>0.25735931288071456</v>
      </c>
      <c r="AG85" s="28">
        <v>1.9553662352287209</v>
      </c>
      <c r="AH85" s="28">
        <v>0</v>
      </c>
      <c r="AI85" s="32">
        <v>78.791715143699676</v>
      </c>
      <c r="AJ85" s="30">
        <v>0.55004893247561359</v>
      </c>
      <c r="AK85" s="32">
        <v>78.199999999999974</v>
      </c>
      <c r="AL85" s="32">
        <v>250.31137107022624</v>
      </c>
      <c r="AM85" s="32">
        <v>5</v>
      </c>
      <c r="AN85" s="32">
        <v>0</v>
      </c>
      <c r="AO85" s="32">
        <v>85.265692562955977</v>
      </c>
      <c r="AP85" s="32">
        <v>294.01350454357464</v>
      </c>
      <c r="AQ85" s="32">
        <v>0</v>
      </c>
      <c r="AR85" s="30">
        <v>0</v>
      </c>
      <c r="AS85" s="30">
        <v>18.36</v>
      </c>
      <c r="AT85" s="30">
        <v>0</v>
      </c>
      <c r="AU85" s="30">
        <v>1.4076000000000002</v>
      </c>
      <c r="AV85" s="30">
        <v>0</v>
      </c>
      <c r="AW85" s="30">
        <v>0</v>
      </c>
      <c r="AX85" s="30">
        <v>0.11084327890211541</v>
      </c>
      <c r="AY85" s="30">
        <v>13.176559368258784</v>
      </c>
      <c r="AZ85" s="30">
        <v>0</v>
      </c>
      <c r="BA85" s="30">
        <v>10.41188134493243</v>
      </c>
      <c r="BB85" s="30">
        <v>0.85044775478143053</v>
      </c>
      <c r="BC85" s="30">
        <v>3.3401033773363751</v>
      </c>
      <c r="BD85" s="30">
        <v>0</v>
      </c>
      <c r="BE85" s="30">
        <v>6.9426124600536401</v>
      </c>
      <c r="BF85" s="30">
        <v>5.7288004601310805</v>
      </c>
      <c r="BG85" s="30">
        <v>12.671412920184721</v>
      </c>
      <c r="BH85" s="30">
        <v>9.3587146522367419</v>
      </c>
      <c r="BI85" s="30">
        <v>22.03012757242146</v>
      </c>
    </row>
    <row r="86" spans="1:61" ht="15.75" customHeight="1" x14ac:dyDescent="0.2">
      <c r="A86" s="3" t="s">
        <v>827</v>
      </c>
      <c r="B86" s="3" t="s">
        <v>103</v>
      </c>
      <c r="C86" s="3" t="s">
        <v>826</v>
      </c>
      <c r="D86" s="28" t="s">
        <v>692</v>
      </c>
      <c r="E86" s="28" t="s">
        <v>828</v>
      </c>
      <c r="F86" s="32">
        <v>2000</v>
      </c>
      <c r="G86" s="32">
        <v>270</v>
      </c>
      <c r="H86" s="161">
        <v>85</v>
      </c>
      <c r="I86" s="28">
        <v>23.55</v>
      </c>
      <c r="J86" s="28">
        <v>15.549999999999999</v>
      </c>
      <c r="K86" s="28">
        <v>66.221892695554772</v>
      </c>
      <c r="L86" s="28">
        <v>23.803341902313623</v>
      </c>
      <c r="M86" s="30">
        <v>0</v>
      </c>
      <c r="N86" s="30">
        <v>0.22042121106255683</v>
      </c>
      <c r="O86" s="30">
        <v>4.3425235863464167</v>
      </c>
      <c r="P86" s="30">
        <v>0.90333333333333343</v>
      </c>
      <c r="Q86" s="30">
        <v>0.92613485046748978</v>
      </c>
      <c r="R86" s="30">
        <v>28.953346330830929</v>
      </c>
      <c r="S86" s="30">
        <v>0</v>
      </c>
      <c r="T86" s="30">
        <v>0</v>
      </c>
      <c r="U86" s="30">
        <v>41.342517242425657</v>
      </c>
      <c r="V86" s="32">
        <v>233.9413528475053</v>
      </c>
      <c r="W86" s="32">
        <v>862.36934635515104</v>
      </c>
      <c r="X86" s="32">
        <v>966.47932155109515</v>
      </c>
      <c r="Y86" s="32">
        <v>892.1347583548569</v>
      </c>
      <c r="Z86" s="32">
        <v>1858.6140799059522</v>
      </c>
      <c r="AA86" s="32">
        <v>1101.8839974148455</v>
      </c>
      <c r="AB86" s="28">
        <v>0</v>
      </c>
      <c r="AC86" s="28">
        <v>0</v>
      </c>
      <c r="AD86" s="28">
        <v>0</v>
      </c>
      <c r="AE86" s="28">
        <v>4.7602043920272061</v>
      </c>
      <c r="AF86" s="28">
        <v>0.24341649025256928</v>
      </c>
      <c r="AG86" s="28">
        <v>5.7756280083813571</v>
      </c>
      <c r="AH86" s="28">
        <v>0</v>
      </c>
      <c r="AI86" s="32">
        <v>73.139979081974744</v>
      </c>
      <c r="AJ86" s="30">
        <v>0.51059387832790204</v>
      </c>
      <c r="AK86" s="32">
        <v>78.199999999999974</v>
      </c>
      <c r="AL86" s="32">
        <v>250.31137107022624</v>
      </c>
      <c r="AM86" s="32">
        <v>5</v>
      </c>
      <c r="AN86" s="32">
        <v>0</v>
      </c>
      <c r="AO86" s="32">
        <v>85.509109053208547</v>
      </c>
      <c r="AP86" s="32">
        <v>299.78913255195602</v>
      </c>
      <c r="AQ86" s="32">
        <v>0</v>
      </c>
      <c r="AR86" s="30">
        <v>0</v>
      </c>
      <c r="AS86" s="30">
        <v>18.36</v>
      </c>
      <c r="AT86" s="30">
        <v>0</v>
      </c>
      <c r="AU86" s="30">
        <v>1.4076000000000002</v>
      </c>
      <c r="AV86" s="30">
        <v>0</v>
      </c>
      <c r="AW86" s="30">
        <v>0</v>
      </c>
      <c r="AX86" s="30">
        <v>0.10756312684547512</v>
      </c>
      <c r="AY86" s="30">
        <v>13.28412249510426</v>
      </c>
      <c r="AZ86" s="30">
        <v>0</v>
      </c>
      <c r="BA86" s="30">
        <v>10.41188134493243</v>
      </c>
      <c r="BB86" s="30">
        <v>0.8373711880026069</v>
      </c>
      <c r="BC86" s="30">
        <v>3.4476665041818499</v>
      </c>
      <c r="BD86" s="30">
        <v>0</v>
      </c>
      <c r="BE86" s="30">
        <v>6.692615870309071</v>
      </c>
      <c r="BF86" s="30">
        <v>5.5240293602089672</v>
      </c>
      <c r="BG86" s="30">
        <v>12.216645230518038</v>
      </c>
      <c r="BH86" s="30">
        <v>9.8134823419034234</v>
      </c>
      <c r="BI86" s="30">
        <v>22.03012757242146</v>
      </c>
    </row>
    <row r="87" spans="1:61" ht="15.75" customHeight="1" x14ac:dyDescent="0.2">
      <c r="A87" s="3" t="s">
        <v>827</v>
      </c>
      <c r="B87" s="3" t="s">
        <v>103</v>
      </c>
      <c r="C87" s="3" t="s">
        <v>826</v>
      </c>
      <c r="D87" s="28" t="s">
        <v>692</v>
      </c>
      <c r="E87" s="28" t="s">
        <v>828</v>
      </c>
      <c r="F87" s="32">
        <v>2000</v>
      </c>
      <c r="G87" s="32">
        <v>271</v>
      </c>
      <c r="H87" s="161">
        <v>86</v>
      </c>
      <c r="I87" s="28">
        <v>25.1</v>
      </c>
      <c r="J87" s="28">
        <v>17.100000000000001</v>
      </c>
      <c r="K87" s="28">
        <v>66.879585003247072</v>
      </c>
      <c r="L87" s="28">
        <v>23.803341902313623</v>
      </c>
      <c r="M87" s="30">
        <v>0</v>
      </c>
      <c r="N87" s="30">
        <v>0.26315430499428305</v>
      </c>
      <c r="O87" s="30">
        <v>4.1221023752838599</v>
      </c>
      <c r="P87" s="30">
        <v>1</v>
      </c>
      <c r="Q87" s="30">
        <v>0.91569055881517825</v>
      </c>
      <c r="R87" s="30">
        <v>25.22910627647579</v>
      </c>
      <c r="S87" s="30">
        <v>0</v>
      </c>
      <c r="T87" s="30">
        <v>0</v>
      </c>
      <c r="U87" s="30">
        <v>40.367618805444792</v>
      </c>
      <c r="V87" s="32">
        <v>233.9413528475053</v>
      </c>
      <c r="W87" s="32">
        <v>862.36934635515104</v>
      </c>
      <c r="X87" s="32">
        <v>951.34080902212622</v>
      </c>
      <c r="Y87" s="32">
        <v>932.50237716030165</v>
      </c>
      <c r="Z87" s="32">
        <v>1883.8431861824279</v>
      </c>
      <c r="AA87" s="32">
        <v>1101.8839974148455</v>
      </c>
      <c r="AB87" s="28">
        <v>0</v>
      </c>
      <c r="AC87" s="28">
        <v>0</v>
      </c>
      <c r="AD87" s="28">
        <v>0</v>
      </c>
      <c r="AE87" s="28">
        <v>3.8526752429782092</v>
      </c>
      <c r="AF87" s="28">
        <v>0.23152069528053043</v>
      </c>
      <c r="AG87" s="28">
        <v>3.1750213153340185</v>
      </c>
      <c r="AH87" s="28">
        <v>0</v>
      </c>
      <c r="AI87" s="32">
        <v>69.939782276785706</v>
      </c>
      <c r="AJ87" s="30">
        <v>0.48825314322401786</v>
      </c>
      <c r="AK87" s="32">
        <v>78.199999999999974</v>
      </c>
      <c r="AL87" s="32">
        <v>250.31137107022624</v>
      </c>
      <c r="AM87" s="32">
        <v>5</v>
      </c>
      <c r="AN87" s="32">
        <v>0</v>
      </c>
      <c r="AO87" s="32">
        <v>85.740629748489084</v>
      </c>
      <c r="AP87" s="32">
        <v>302.96415386729001</v>
      </c>
      <c r="AQ87" s="32">
        <v>0</v>
      </c>
      <c r="AR87" s="30">
        <v>0</v>
      </c>
      <c r="AS87" s="30">
        <v>18.36</v>
      </c>
      <c r="AT87" s="30">
        <v>0</v>
      </c>
      <c r="AU87" s="30">
        <v>1.4076000000000002</v>
      </c>
      <c r="AV87" s="30">
        <v>0</v>
      </c>
      <c r="AW87" s="30">
        <v>0</v>
      </c>
      <c r="AX87" s="30">
        <v>0.11318083835910764</v>
      </c>
      <c r="AY87" s="30">
        <v>13.397303333463368</v>
      </c>
      <c r="AZ87" s="30">
        <v>0</v>
      </c>
      <c r="BA87" s="30">
        <v>10.41188134493243</v>
      </c>
      <c r="BB87" s="30">
        <v>0.84223496189654068</v>
      </c>
      <c r="BC87" s="30">
        <v>3.5608473425409577</v>
      </c>
      <c r="BD87" s="30">
        <v>0</v>
      </c>
      <c r="BE87" s="30">
        <v>6.44815649379143</v>
      </c>
      <c r="BF87" s="30">
        <v>5.3244449298667149</v>
      </c>
      <c r="BG87" s="30">
        <v>11.772601423658145</v>
      </c>
      <c r="BH87" s="30">
        <v>10.257526148763317</v>
      </c>
      <c r="BI87" s="30">
        <v>22.03012757242146</v>
      </c>
    </row>
    <row r="88" spans="1:61" ht="15.75" customHeight="1" x14ac:dyDescent="0.2">
      <c r="A88" s="3" t="s">
        <v>827</v>
      </c>
      <c r="B88" s="3" t="s">
        <v>103</v>
      </c>
      <c r="C88" s="3" t="s">
        <v>826</v>
      </c>
      <c r="D88" s="28" t="s">
        <v>692</v>
      </c>
      <c r="E88" s="28" t="s">
        <v>828</v>
      </c>
      <c r="F88" s="32">
        <v>2000</v>
      </c>
      <c r="G88" s="32">
        <v>272</v>
      </c>
      <c r="H88" s="161">
        <v>87</v>
      </c>
      <c r="I88" s="28">
        <v>25.5</v>
      </c>
      <c r="J88" s="28">
        <v>17.5</v>
      </c>
      <c r="K88" s="28">
        <v>67.552661926323992</v>
      </c>
      <c r="L88" s="28">
        <v>23.803341902313623</v>
      </c>
      <c r="M88" s="30">
        <v>0</v>
      </c>
      <c r="N88" s="30">
        <v>0.25732565949225322</v>
      </c>
      <c r="O88" s="30">
        <v>3.8589480702895766</v>
      </c>
      <c r="P88" s="30">
        <v>1</v>
      </c>
      <c r="Q88" s="30">
        <v>0.9012702384143938</v>
      </c>
      <c r="R88" s="30">
        <v>13.475792604772016</v>
      </c>
      <c r="S88" s="30">
        <v>0</v>
      </c>
      <c r="T88" s="30">
        <v>0</v>
      </c>
      <c r="U88" s="30">
        <v>35.130302021170145</v>
      </c>
      <c r="V88" s="32">
        <v>233.9413528475053</v>
      </c>
      <c r="W88" s="32">
        <v>862.36934635515104</v>
      </c>
      <c r="X88" s="32">
        <v>929.6862996057281</v>
      </c>
      <c r="Y88" s="32">
        <v>967.63267918147176</v>
      </c>
      <c r="Z88" s="32">
        <v>1897.3189787871997</v>
      </c>
      <c r="AA88" s="32">
        <v>1101.8839974148455</v>
      </c>
      <c r="AB88" s="28">
        <v>0</v>
      </c>
      <c r="AC88" s="28">
        <v>73.305137387144214</v>
      </c>
      <c r="AD88" s="28">
        <v>0</v>
      </c>
      <c r="AE88" s="28">
        <v>2.0998978549340337</v>
      </c>
      <c r="AF88" s="28">
        <v>0.62132034355964272</v>
      </c>
      <c r="AG88" s="28">
        <v>1.4329333133010942</v>
      </c>
      <c r="AH88" s="28">
        <v>0</v>
      </c>
      <c r="AI88" s="32">
        <v>141.28502643539738</v>
      </c>
      <c r="AJ88" s="30">
        <v>0.98631788664386366</v>
      </c>
      <c r="AK88" s="32">
        <v>78.199999999999974</v>
      </c>
      <c r="AL88" s="32">
        <v>323.61650845737046</v>
      </c>
      <c r="AM88" s="32">
        <v>6</v>
      </c>
      <c r="AN88" s="32">
        <v>0</v>
      </c>
      <c r="AO88" s="32">
        <v>86.36195009204873</v>
      </c>
      <c r="AP88" s="32">
        <v>304.39708718059109</v>
      </c>
      <c r="AQ88" s="32">
        <v>0</v>
      </c>
      <c r="AR88" s="30">
        <v>0</v>
      </c>
      <c r="AS88" s="30">
        <v>18.36</v>
      </c>
      <c r="AT88" s="30">
        <v>0</v>
      </c>
      <c r="AU88" s="30">
        <v>1.4076000000000002</v>
      </c>
      <c r="AV88" s="30">
        <v>0</v>
      </c>
      <c r="AW88" s="30">
        <v>0</v>
      </c>
      <c r="AX88" s="30">
        <v>8.7178284479873525E-2</v>
      </c>
      <c r="AY88" s="30">
        <v>13.484481617943242</v>
      </c>
      <c r="AZ88" s="30">
        <v>0.15731096192334321</v>
      </c>
      <c r="BA88" s="30">
        <v>10.569192306855774</v>
      </c>
      <c r="BB88" s="30">
        <v>1.2030271725678725</v>
      </c>
      <c r="BC88" s="30">
        <v>3.4907146650974887</v>
      </c>
      <c r="BD88" s="30">
        <v>0</v>
      </c>
      <c r="BE88" s="30">
        <v>6.2345538669887519</v>
      </c>
      <c r="BF88" s="30">
        <v>5.1516142344365212</v>
      </c>
      <c r="BG88" s="30">
        <v>11.386168101425273</v>
      </c>
      <c r="BH88" s="30">
        <v>10.643959470996188</v>
      </c>
      <c r="BI88" s="30">
        <v>22.03012757242146</v>
      </c>
    </row>
    <row r="89" spans="1:61" ht="15.75" customHeight="1" x14ac:dyDescent="0.2">
      <c r="A89" s="3" t="s">
        <v>827</v>
      </c>
      <c r="B89" s="3" t="s">
        <v>103</v>
      </c>
      <c r="C89" s="3" t="s">
        <v>826</v>
      </c>
      <c r="D89" s="28" t="s">
        <v>692</v>
      </c>
      <c r="E89" s="28" t="s">
        <v>828</v>
      </c>
      <c r="F89" s="32">
        <v>2000</v>
      </c>
      <c r="G89" s="32">
        <v>273</v>
      </c>
      <c r="H89" s="161">
        <v>88</v>
      </c>
      <c r="I89" s="28">
        <v>24.9</v>
      </c>
      <c r="J89" s="28">
        <v>16.899999999999999</v>
      </c>
      <c r="K89" s="28">
        <v>68.202661926323998</v>
      </c>
      <c r="L89" s="28">
        <v>23.803341902313623</v>
      </c>
      <c r="M89" s="30">
        <v>0</v>
      </c>
      <c r="N89" s="30">
        <v>0.22484487031860864</v>
      </c>
      <c r="O89" s="30">
        <v>3.6016224107973236</v>
      </c>
      <c r="P89" s="30">
        <v>0.99333333333333329</v>
      </c>
      <c r="Q89" s="30">
        <v>0.88478708717167831</v>
      </c>
      <c r="R89" s="30">
        <v>8.268583070003741</v>
      </c>
      <c r="S89" s="30">
        <v>0</v>
      </c>
      <c r="T89" s="30">
        <v>0</v>
      </c>
      <c r="U89" s="30">
        <v>32.800790793559962</v>
      </c>
      <c r="V89" s="32">
        <v>233.9413528475053</v>
      </c>
      <c r="W89" s="32">
        <v>862.36934635515104</v>
      </c>
      <c r="X89" s="32">
        <v>905.15409188217188</v>
      </c>
      <c r="Y89" s="32">
        <v>1000.4334699750317</v>
      </c>
      <c r="Z89" s="32">
        <v>1905.5875618572036</v>
      </c>
      <c r="AA89" s="32">
        <v>1101.8839974148455</v>
      </c>
      <c r="AB89" s="28">
        <v>0.1</v>
      </c>
      <c r="AC89" s="28">
        <v>0</v>
      </c>
      <c r="AD89" s="28">
        <v>0</v>
      </c>
      <c r="AE89" s="28">
        <v>1.3155476439437788</v>
      </c>
      <c r="AF89" s="28">
        <v>9.7128042316674493E-3</v>
      </c>
      <c r="AG89" s="28">
        <v>1.253874048809303</v>
      </c>
      <c r="AH89" s="28">
        <v>0</v>
      </c>
      <c r="AI89" s="32">
        <v>140.19657393082764</v>
      </c>
      <c r="AJ89" s="30">
        <v>0.97871934487970624</v>
      </c>
      <c r="AK89" s="32">
        <v>78.299999999999969</v>
      </c>
      <c r="AL89" s="32">
        <v>323.61650845737046</v>
      </c>
      <c r="AM89" s="32">
        <v>6</v>
      </c>
      <c r="AN89" s="32">
        <v>0</v>
      </c>
      <c r="AO89" s="32">
        <v>86.371662896280398</v>
      </c>
      <c r="AP89" s="32">
        <v>305.65096122940037</v>
      </c>
      <c r="AQ89" s="32">
        <v>0</v>
      </c>
      <c r="AR89" s="30">
        <v>0</v>
      </c>
      <c r="AS89" s="30">
        <v>18.36</v>
      </c>
      <c r="AT89" s="30">
        <v>0</v>
      </c>
      <c r="AU89" s="30">
        <v>1.4076000000000002</v>
      </c>
      <c r="AV89" s="30">
        <v>0</v>
      </c>
      <c r="AW89" s="30">
        <v>0</v>
      </c>
      <c r="AX89" s="30">
        <v>2.0636907975386504E-2</v>
      </c>
      <c r="AY89" s="30">
        <v>13.505118525918629</v>
      </c>
      <c r="AZ89" s="30">
        <v>5.931335677023359E-2</v>
      </c>
      <c r="BA89" s="30">
        <v>10.628505663626008</v>
      </c>
      <c r="BB89" s="30">
        <v>1.2267382778340661</v>
      </c>
      <c r="BC89" s="30">
        <v>3.4520382163026415</v>
      </c>
      <c r="BD89" s="30">
        <v>0</v>
      </c>
      <c r="BE89" s="30">
        <v>6.0359969504600617</v>
      </c>
      <c r="BF89" s="30">
        <v>4.9893624522360511</v>
      </c>
      <c r="BG89" s="30">
        <v>11.025359402696113</v>
      </c>
      <c r="BH89" s="30">
        <v>11.004768169725349</v>
      </c>
      <c r="BI89" s="30">
        <v>22.03012757242146</v>
      </c>
    </row>
    <row r="90" spans="1:61" ht="15.75" customHeight="1" x14ac:dyDescent="0.2">
      <c r="A90" s="3" t="s">
        <v>827</v>
      </c>
      <c r="B90" s="3" t="s">
        <v>103</v>
      </c>
      <c r="C90" s="3" t="s">
        <v>826</v>
      </c>
      <c r="D90" s="28" t="s">
        <v>692</v>
      </c>
      <c r="E90" s="28" t="s">
        <v>828</v>
      </c>
      <c r="F90" s="32">
        <v>2000</v>
      </c>
      <c r="G90" s="32">
        <v>274</v>
      </c>
      <c r="H90" s="161">
        <v>89</v>
      </c>
      <c r="I90" s="28">
        <v>23.1</v>
      </c>
      <c r="J90" s="28">
        <v>15.100000000000001</v>
      </c>
      <c r="K90" s="28">
        <v>68.783431157093233</v>
      </c>
      <c r="L90" s="28">
        <v>23.803341902313623</v>
      </c>
      <c r="M90" s="30">
        <v>0</v>
      </c>
      <c r="N90" s="30">
        <v>0.20900728055651557</v>
      </c>
      <c r="O90" s="30">
        <v>3.3767775404787148</v>
      </c>
      <c r="P90" s="30">
        <v>0.87333333333333341</v>
      </c>
      <c r="Q90" s="30">
        <v>0.86814685640858902</v>
      </c>
      <c r="R90" s="30">
        <v>0</v>
      </c>
      <c r="S90" s="30">
        <v>0</v>
      </c>
      <c r="T90" s="30">
        <v>0</v>
      </c>
      <c r="U90" s="30">
        <v>0</v>
      </c>
      <c r="V90" s="32">
        <v>233.9413528475053</v>
      </c>
      <c r="W90" s="32">
        <v>862.36934635515104</v>
      </c>
      <c r="X90" s="32">
        <v>905.15409188217188</v>
      </c>
      <c r="Y90" s="32">
        <v>1000.4334699750317</v>
      </c>
      <c r="Z90" s="32">
        <v>1905.5875618572036</v>
      </c>
      <c r="AA90" s="32">
        <v>1101.8839974148455</v>
      </c>
      <c r="AB90" s="28">
        <v>0</v>
      </c>
      <c r="AC90" s="28">
        <v>0</v>
      </c>
      <c r="AD90" s="28">
        <v>0</v>
      </c>
      <c r="AE90" s="28">
        <v>2.3906103923233952</v>
      </c>
      <c r="AF90" s="28">
        <v>0.40192378864668421</v>
      </c>
      <c r="AG90" s="28">
        <v>0</v>
      </c>
      <c r="AH90" s="28">
        <v>0</v>
      </c>
      <c r="AI90" s="32">
        <v>139.79465014218096</v>
      </c>
      <c r="AJ90" s="30">
        <v>0.9759134946646365</v>
      </c>
      <c r="AK90" s="32">
        <v>78.299999999999969</v>
      </c>
      <c r="AL90" s="32">
        <v>323.61650845737046</v>
      </c>
      <c r="AM90" s="32">
        <v>6</v>
      </c>
      <c r="AN90" s="32">
        <v>0</v>
      </c>
      <c r="AO90" s="32">
        <v>86.773586684927082</v>
      </c>
      <c r="AP90" s="32">
        <v>305.65096122940037</v>
      </c>
      <c r="AQ90" s="32">
        <v>0</v>
      </c>
      <c r="AR90" s="30">
        <v>0</v>
      </c>
      <c r="AS90" s="30">
        <v>18.36</v>
      </c>
      <c r="AT90" s="30">
        <v>0</v>
      </c>
      <c r="AU90" s="30">
        <v>1.4076000000000002</v>
      </c>
      <c r="AV90" s="30">
        <v>0</v>
      </c>
      <c r="AW90" s="30">
        <v>0</v>
      </c>
      <c r="AX90" s="30">
        <v>2.131699512937045E-2</v>
      </c>
      <c r="AY90" s="30">
        <v>13.526435521047999</v>
      </c>
      <c r="AZ90" s="30">
        <v>3.9054173312256878E-2</v>
      </c>
      <c r="BA90" s="30">
        <v>10.667559836938265</v>
      </c>
      <c r="BB90" s="30">
        <v>1.2151555855374847</v>
      </c>
      <c r="BC90" s="30">
        <v>3.4343010381197545</v>
      </c>
      <c r="BD90" s="30">
        <v>0</v>
      </c>
      <c r="BE90" s="30">
        <v>6.0359969504600617</v>
      </c>
      <c r="BF90" s="30">
        <v>4.9893624522360511</v>
      </c>
      <c r="BG90" s="30">
        <v>11.025359402696113</v>
      </c>
      <c r="BH90" s="30">
        <v>11.004768169725349</v>
      </c>
      <c r="BI90" s="30">
        <v>22.03012757242146</v>
      </c>
    </row>
    <row r="91" spans="1:61" ht="15.75" customHeight="1" x14ac:dyDescent="0.2">
      <c r="A91" s="3" t="s">
        <v>827</v>
      </c>
      <c r="B91" s="3" t="s">
        <v>103</v>
      </c>
      <c r="C91" s="3" t="s">
        <v>826</v>
      </c>
      <c r="D91" s="28" t="s">
        <v>692</v>
      </c>
      <c r="E91" s="28" t="s">
        <v>828</v>
      </c>
      <c r="F91" s="32">
        <v>2000</v>
      </c>
      <c r="G91" s="32">
        <v>275</v>
      </c>
      <c r="H91" s="161">
        <v>90</v>
      </c>
      <c r="I91" s="28">
        <v>18.600000000000001</v>
      </c>
      <c r="J91" s="28">
        <v>10.600000000000001</v>
      </c>
      <c r="K91" s="28">
        <v>69.191123464785534</v>
      </c>
      <c r="L91" s="28">
        <v>23.803341902313623</v>
      </c>
      <c r="M91" s="30">
        <v>0</v>
      </c>
      <c r="N91" s="30">
        <v>0</v>
      </c>
      <c r="O91" s="30">
        <v>3.1677702599221993</v>
      </c>
      <c r="P91" s="30">
        <v>0.57333333333333347</v>
      </c>
      <c r="Q91" s="30">
        <v>0.85053038574703055</v>
      </c>
      <c r="R91" s="30">
        <v>0</v>
      </c>
      <c r="S91" s="30">
        <v>0</v>
      </c>
      <c r="T91" s="30">
        <v>0</v>
      </c>
      <c r="U91" s="30">
        <v>0</v>
      </c>
      <c r="V91" s="32">
        <v>233.9413528475053</v>
      </c>
      <c r="W91" s="32">
        <v>862.36934635515104</v>
      </c>
      <c r="X91" s="32">
        <v>905.15409188217188</v>
      </c>
      <c r="Y91" s="32">
        <v>1000.4334699750317</v>
      </c>
      <c r="Z91" s="32">
        <v>1905.5875618572036</v>
      </c>
      <c r="AA91" s="32">
        <v>1101.8839974148455</v>
      </c>
      <c r="AB91" s="28">
        <v>39.200000000000003</v>
      </c>
      <c r="AC91" s="28">
        <v>0</v>
      </c>
      <c r="AD91" s="28">
        <v>0</v>
      </c>
      <c r="AE91" s="28">
        <v>1.6719043971108063</v>
      </c>
      <c r="AF91" s="28">
        <v>1.5</v>
      </c>
      <c r="AG91" s="28">
        <v>0</v>
      </c>
      <c r="AH91" s="28">
        <v>0</v>
      </c>
      <c r="AI91" s="32">
        <v>177.01410239374292</v>
      </c>
      <c r="AJ91" s="30">
        <v>1.2357443657271729</v>
      </c>
      <c r="AK91" s="32">
        <v>117.49999999999997</v>
      </c>
      <c r="AL91" s="32">
        <v>323.61650845737046</v>
      </c>
      <c r="AM91" s="32">
        <v>6</v>
      </c>
      <c r="AN91" s="32">
        <v>0</v>
      </c>
      <c r="AO91" s="32">
        <v>88.273586684927082</v>
      </c>
      <c r="AP91" s="32">
        <v>305.65096122940037</v>
      </c>
      <c r="AQ91" s="32">
        <v>0</v>
      </c>
      <c r="AR91" s="30">
        <v>0</v>
      </c>
      <c r="AS91" s="30">
        <v>18.36</v>
      </c>
      <c r="AT91" s="30">
        <v>0</v>
      </c>
      <c r="AU91" s="30">
        <v>1.4076000000000002</v>
      </c>
      <c r="AV91" s="30">
        <v>0</v>
      </c>
      <c r="AW91" s="30">
        <v>0</v>
      </c>
      <c r="AX91" s="30">
        <v>2.8871685057798675E-3</v>
      </c>
      <c r="AY91" s="30">
        <v>13.529322689553778</v>
      </c>
      <c r="AZ91" s="30">
        <v>2.8584527904566358E-2</v>
      </c>
      <c r="BA91" s="30">
        <v>10.696144364842832</v>
      </c>
      <c r="BB91" s="30">
        <v>1.2491055143151844</v>
      </c>
      <c r="BC91" s="30">
        <v>3.4086036787209681</v>
      </c>
      <c r="BD91" s="30">
        <v>0</v>
      </c>
      <c r="BE91" s="30">
        <v>6.0359969504600617</v>
      </c>
      <c r="BF91" s="30">
        <v>4.9893624522360511</v>
      </c>
      <c r="BG91" s="30">
        <v>11.025359402696113</v>
      </c>
      <c r="BH91" s="30">
        <v>11.004768169725349</v>
      </c>
      <c r="BI91" s="30">
        <v>22.03012757242146</v>
      </c>
    </row>
    <row r="92" spans="1:61" ht="15.75" customHeight="1" x14ac:dyDescent="0.2">
      <c r="A92" s="3" t="s">
        <v>827</v>
      </c>
      <c r="B92" s="3" t="s">
        <v>103</v>
      </c>
      <c r="C92" s="3" t="s">
        <v>826</v>
      </c>
      <c r="D92" s="28" t="s">
        <v>692</v>
      </c>
      <c r="E92" s="28" t="s">
        <v>828</v>
      </c>
      <c r="F92" s="32">
        <v>2000</v>
      </c>
      <c r="G92" s="32">
        <v>276</v>
      </c>
      <c r="H92" s="161">
        <v>91</v>
      </c>
      <c r="I92" s="28">
        <v>16.8</v>
      </c>
      <c r="J92" s="28">
        <v>8.8000000000000007</v>
      </c>
      <c r="K92" s="28">
        <v>69.529585003247078</v>
      </c>
      <c r="L92" s="28">
        <v>23.803341902313623</v>
      </c>
      <c r="M92" s="30">
        <v>0</v>
      </c>
      <c r="N92" s="30">
        <v>0</v>
      </c>
      <c r="O92" s="30">
        <v>3.1677702599221993</v>
      </c>
      <c r="P92" s="30">
        <v>0.45333333333333337</v>
      </c>
      <c r="Q92" s="30">
        <v>0.85053038574703055</v>
      </c>
      <c r="R92" s="30">
        <v>0</v>
      </c>
      <c r="S92" s="30">
        <v>0</v>
      </c>
      <c r="T92" s="30">
        <v>0</v>
      </c>
      <c r="U92" s="30">
        <v>0</v>
      </c>
      <c r="V92" s="32">
        <v>233.9413528475053</v>
      </c>
      <c r="W92" s="32">
        <v>862.36934635515104</v>
      </c>
      <c r="X92" s="32">
        <v>905.15409188217188</v>
      </c>
      <c r="Y92" s="32">
        <v>1000.4334699750317</v>
      </c>
      <c r="Z92" s="32">
        <v>1905.5875618572036</v>
      </c>
      <c r="AA92" s="32">
        <v>1101.8839974148455</v>
      </c>
      <c r="AB92" s="28">
        <v>21.5</v>
      </c>
      <c r="AC92" s="28">
        <v>0</v>
      </c>
      <c r="AD92" s="28">
        <v>0</v>
      </c>
      <c r="AE92" s="28">
        <v>1.5367404812949985</v>
      </c>
      <c r="AF92" s="28">
        <v>1.5</v>
      </c>
      <c r="AG92" s="28">
        <v>0</v>
      </c>
      <c r="AH92" s="28">
        <v>0</v>
      </c>
      <c r="AI92" s="32">
        <v>194.39860060084681</v>
      </c>
      <c r="AJ92" s="30">
        <v>1.3571064234384693</v>
      </c>
      <c r="AK92" s="32">
        <v>138.99999999999997</v>
      </c>
      <c r="AL92" s="32">
        <v>323.61650845737046</v>
      </c>
      <c r="AM92" s="32">
        <v>6</v>
      </c>
      <c r="AN92" s="32">
        <v>0</v>
      </c>
      <c r="AO92" s="32">
        <v>89.773586684927082</v>
      </c>
      <c r="AP92" s="32">
        <v>305.65096122940037</v>
      </c>
      <c r="AQ92" s="32">
        <v>0</v>
      </c>
      <c r="AR92" s="30">
        <v>0</v>
      </c>
      <c r="AS92" s="30">
        <v>18.36</v>
      </c>
      <c r="AT92" s="30">
        <v>0</v>
      </c>
      <c r="AU92" s="30">
        <v>1.4076000000000002</v>
      </c>
      <c r="AV92" s="30">
        <v>0</v>
      </c>
      <c r="AW92" s="30">
        <v>0</v>
      </c>
      <c r="AX92" s="30">
        <v>3.8667070682377323E-3</v>
      </c>
      <c r="AY92" s="30">
        <v>13.533189396622015</v>
      </c>
      <c r="AZ92" s="30">
        <v>1.7337465569555056E-2</v>
      </c>
      <c r="BA92" s="30">
        <v>10.713481830412388</v>
      </c>
      <c r="BB92" s="30">
        <v>1.2628831780802703</v>
      </c>
      <c r="BC92" s="30">
        <v>3.395132920219651</v>
      </c>
      <c r="BD92" s="30">
        <v>0</v>
      </c>
      <c r="BE92" s="30">
        <v>6.0359969504600617</v>
      </c>
      <c r="BF92" s="30">
        <v>4.9893624522360511</v>
      </c>
      <c r="BG92" s="30">
        <v>11.025359402696113</v>
      </c>
      <c r="BH92" s="30">
        <v>11.004768169725349</v>
      </c>
      <c r="BI92" s="30">
        <v>22.03012757242146</v>
      </c>
    </row>
    <row r="93" spans="1:61" ht="15.75" customHeight="1" x14ac:dyDescent="0.2">
      <c r="A93" s="3" t="s">
        <v>827</v>
      </c>
      <c r="B93" s="3" t="s">
        <v>103</v>
      </c>
      <c r="C93" s="3" t="s">
        <v>826</v>
      </c>
      <c r="D93" s="28" t="s">
        <v>692</v>
      </c>
      <c r="E93" s="28" t="s">
        <v>828</v>
      </c>
      <c r="F93" s="32">
        <v>2000</v>
      </c>
      <c r="G93" s="32">
        <v>277</v>
      </c>
      <c r="H93" s="161">
        <v>92</v>
      </c>
      <c r="I93" s="28">
        <v>17.8</v>
      </c>
      <c r="J93" s="28">
        <v>9.8000000000000007</v>
      </c>
      <c r="K93" s="28">
        <v>69.906508080170155</v>
      </c>
      <c r="L93" s="28">
        <v>23.803341902313623</v>
      </c>
      <c r="M93" s="30">
        <v>0</v>
      </c>
      <c r="N93" s="30">
        <v>0</v>
      </c>
      <c r="O93" s="30">
        <v>3.1677702599221993</v>
      </c>
      <c r="P93" s="30">
        <v>0.52</v>
      </c>
      <c r="Q93" s="30">
        <v>0.85053038574703055</v>
      </c>
      <c r="R93" s="30">
        <v>0</v>
      </c>
      <c r="S93" s="30">
        <v>0</v>
      </c>
      <c r="T93" s="30">
        <v>0</v>
      </c>
      <c r="U93" s="30">
        <v>0</v>
      </c>
      <c r="V93" s="32">
        <v>233.9413528475053</v>
      </c>
      <c r="W93" s="32">
        <v>862.36934635515104</v>
      </c>
      <c r="X93" s="32">
        <v>905.15409188217188</v>
      </c>
      <c r="Y93" s="32">
        <v>1000.4334699750317</v>
      </c>
      <c r="Z93" s="32">
        <v>1905.5875618572036</v>
      </c>
      <c r="AA93" s="32">
        <v>1101.8839974148455</v>
      </c>
      <c r="AB93" s="28">
        <v>4.8</v>
      </c>
      <c r="AC93" s="28">
        <v>0</v>
      </c>
      <c r="AD93" s="28">
        <v>0</v>
      </c>
      <c r="AE93" s="28">
        <v>2.4989190802020729</v>
      </c>
      <c r="AF93" s="28">
        <v>1.5</v>
      </c>
      <c r="AG93" s="28">
        <v>0</v>
      </c>
      <c r="AH93" s="28">
        <v>0</v>
      </c>
      <c r="AI93" s="32">
        <v>193.95450205186816</v>
      </c>
      <c r="AJ93" s="30">
        <v>1.354006149097009</v>
      </c>
      <c r="AK93" s="32">
        <v>143.79999999999998</v>
      </c>
      <c r="AL93" s="32">
        <v>323.61650845737046</v>
      </c>
      <c r="AM93" s="32">
        <v>6</v>
      </c>
      <c r="AN93" s="32">
        <v>0</v>
      </c>
      <c r="AO93" s="32">
        <v>91.273586684927082</v>
      </c>
      <c r="AP93" s="32">
        <v>305.65096122940037</v>
      </c>
      <c r="AQ93" s="32">
        <v>0</v>
      </c>
      <c r="AR93" s="30">
        <v>0</v>
      </c>
      <c r="AS93" s="30">
        <v>18.36</v>
      </c>
      <c r="AT93" s="30">
        <v>0</v>
      </c>
      <c r="AU93" s="30">
        <v>1.4076000000000002</v>
      </c>
      <c r="AV93" s="30">
        <v>0</v>
      </c>
      <c r="AW93" s="30">
        <v>0</v>
      </c>
      <c r="AX93" s="30">
        <v>6.235486465557361E-3</v>
      </c>
      <c r="AY93" s="30">
        <v>13.539424883087573</v>
      </c>
      <c r="AZ93" s="30">
        <v>1.2956091362541125E-2</v>
      </c>
      <c r="BA93" s="30">
        <v>10.726437921774929</v>
      </c>
      <c r="BB93" s="30">
        <v>1.2561788593659045</v>
      </c>
      <c r="BC93" s="30">
        <v>3.3884123153226673</v>
      </c>
      <c r="BD93" s="30">
        <v>0</v>
      </c>
      <c r="BE93" s="30">
        <v>6.0359969504600617</v>
      </c>
      <c r="BF93" s="30">
        <v>4.9893624522360511</v>
      </c>
      <c r="BG93" s="30">
        <v>11.025359402696113</v>
      </c>
      <c r="BH93" s="30">
        <v>11.004768169725349</v>
      </c>
      <c r="BI93" s="30">
        <v>22.03012757242146</v>
      </c>
    </row>
    <row r="94" spans="1:61" ht="15.75" customHeight="1" x14ac:dyDescent="0.2">
      <c r="A94" s="3" t="s">
        <v>827</v>
      </c>
      <c r="B94" s="3" t="s">
        <v>103</v>
      </c>
      <c r="C94" s="3" t="s">
        <v>826</v>
      </c>
      <c r="D94" s="28" t="s">
        <v>692</v>
      </c>
      <c r="E94" s="28" t="s">
        <v>828</v>
      </c>
      <c r="F94" s="32">
        <v>2000</v>
      </c>
      <c r="G94" s="32">
        <v>278</v>
      </c>
      <c r="H94" s="161">
        <v>93</v>
      </c>
      <c r="I94" s="28">
        <v>18.100000000000001</v>
      </c>
      <c r="J94" s="28">
        <v>10.100000000000001</v>
      </c>
      <c r="K94" s="28">
        <v>70.294969618631697</v>
      </c>
      <c r="L94" s="28">
        <v>23.803341902313623</v>
      </c>
      <c r="M94" s="30">
        <v>0</v>
      </c>
      <c r="N94" s="30">
        <v>0</v>
      </c>
      <c r="O94" s="30">
        <v>3.1677702599221993</v>
      </c>
      <c r="P94" s="30">
        <v>0.54000000000000015</v>
      </c>
      <c r="Q94" s="30">
        <v>0.85053038574703055</v>
      </c>
      <c r="R94" s="30">
        <v>0</v>
      </c>
      <c r="S94" s="30">
        <v>0</v>
      </c>
      <c r="T94" s="30">
        <v>0</v>
      </c>
      <c r="U94" s="30">
        <v>0</v>
      </c>
      <c r="V94" s="32">
        <v>233.9413528475053</v>
      </c>
      <c r="W94" s="32">
        <v>862.36934635515104</v>
      </c>
      <c r="X94" s="32">
        <v>905.15409188217188</v>
      </c>
      <c r="Y94" s="32">
        <v>1000.4334699750317</v>
      </c>
      <c r="Z94" s="32">
        <v>1905.5875618572036</v>
      </c>
      <c r="AA94" s="32">
        <v>1101.8839974148455</v>
      </c>
      <c r="AB94" s="28">
        <v>0</v>
      </c>
      <c r="AC94" s="28">
        <v>0</v>
      </c>
      <c r="AD94" s="28">
        <v>0</v>
      </c>
      <c r="AE94" s="28">
        <v>3.8730940939717295</v>
      </c>
      <c r="AF94" s="28">
        <v>1.5</v>
      </c>
      <c r="AG94" s="28">
        <v>0</v>
      </c>
      <c r="AH94" s="28">
        <v>0</v>
      </c>
      <c r="AI94" s="32">
        <v>186.02510618056604</v>
      </c>
      <c r="AJ94" s="30">
        <v>1.2986506370837001</v>
      </c>
      <c r="AK94" s="32">
        <v>143.79999999999998</v>
      </c>
      <c r="AL94" s="32">
        <v>323.61650845737046</v>
      </c>
      <c r="AM94" s="32">
        <v>6</v>
      </c>
      <c r="AN94" s="32">
        <v>0</v>
      </c>
      <c r="AO94" s="32">
        <v>92.773586684927082</v>
      </c>
      <c r="AP94" s="32">
        <v>305.65096122940037</v>
      </c>
      <c r="AQ94" s="32">
        <v>0</v>
      </c>
      <c r="AR94" s="30">
        <v>0</v>
      </c>
      <c r="AS94" s="30">
        <v>18.36</v>
      </c>
      <c r="AT94" s="30">
        <v>0</v>
      </c>
      <c r="AU94" s="30">
        <v>1.4076000000000002</v>
      </c>
      <c r="AV94" s="30">
        <v>1.8316492716484105E-2</v>
      </c>
      <c r="AW94" s="30">
        <v>1.8316492716484105E-2</v>
      </c>
      <c r="AX94" s="30">
        <v>0</v>
      </c>
      <c r="AY94" s="30">
        <v>13.539424883087573</v>
      </c>
      <c r="AZ94" s="30">
        <v>1.0106660467344925E-2</v>
      </c>
      <c r="BA94" s="30">
        <v>10.736544582242274</v>
      </c>
      <c r="BB94" s="30">
        <v>1.2165380432467008</v>
      </c>
      <c r="BC94" s="30">
        <v>3.359989162138838</v>
      </c>
      <c r="BD94" s="30">
        <v>0</v>
      </c>
      <c r="BE94" s="30">
        <v>6.0359969504600617</v>
      </c>
      <c r="BF94" s="30">
        <v>4.9893624522360511</v>
      </c>
      <c r="BG94" s="30">
        <v>11.025359402696113</v>
      </c>
      <c r="BH94" s="30">
        <v>11.004768169725349</v>
      </c>
      <c r="BI94" s="30">
        <v>22.03012757242146</v>
      </c>
    </row>
    <row r="95" spans="1:61" ht="15.75" customHeight="1" x14ac:dyDescent="0.2">
      <c r="A95" s="3" t="s">
        <v>827</v>
      </c>
      <c r="B95" s="3" t="s">
        <v>103</v>
      </c>
      <c r="C95" s="3" t="s">
        <v>826</v>
      </c>
      <c r="D95" s="28" t="s">
        <v>692</v>
      </c>
      <c r="E95" s="28" t="s">
        <v>828</v>
      </c>
      <c r="F95" s="32">
        <v>2000</v>
      </c>
      <c r="G95" s="32">
        <v>279</v>
      </c>
      <c r="H95" s="161">
        <v>94</v>
      </c>
      <c r="I95" s="28">
        <v>19.600000000000001</v>
      </c>
      <c r="J95" s="28">
        <v>11.600000000000001</v>
      </c>
      <c r="K95" s="28">
        <v>70.741123464785545</v>
      </c>
      <c r="L95" s="28">
        <v>23.803341902313623</v>
      </c>
      <c r="M95" s="30">
        <v>0</v>
      </c>
      <c r="N95" s="30">
        <v>0</v>
      </c>
      <c r="O95" s="30">
        <v>3.1677702599221993</v>
      </c>
      <c r="P95" s="30">
        <v>0.64000000000000012</v>
      </c>
      <c r="Q95" s="30">
        <v>0.85053038574703055</v>
      </c>
      <c r="R95" s="30">
        <v>0</v>
      </c>
      <c r="S95" s="30">
        <v>0</v>
      </c>
      <c r="T95" s="30">
        <v>0</v>
      </c>
      <c r="U95" s="30">
        <v>0</v>
      </c>
      <c r="V95" s="32">
        <v>233.9413528475053</v>
      </c>
      <c r="W95" s="32">
        <v>862.36934635515104</v>
      </c>
      <c r="X95" s="32">
        <v>905.15409188217188</v>
      </c>
      <c r="Y95" s="32">
        <v>1000.4334699750317</v>
      </c>
      <c r="Z95" s="32">
        <v>1905.5875618572036</v>
      </c>
      <c r="AA95" s="32">
        <v>1101.8839974148455</v>
      </c>
      <c r="AB95" s="28">
        <v>0</v>
      </c>
      <c r="AC95" s="28">
        <v>0</v>
      </c>
      <c r="AD95" s="28">
        <v>0</v>
      </c>
      <c r="AE95" s="28">
        <v>4.4524704546039473</v>
      </c>
      <c r="AF95" s="28">
        <v>1.5</v>
      </c>
      <c r="AG95" s="28">
        <v>0</v>
      </c>
      <c r="AH95" s="28">
        <v>3.7094809579125467</v>
      </c>
      <c r="AI95" s="32">
        <v>176.18197081919979</v>
      </c>
      <c r="AJ95" s="30">
        <v>1.2299352132874535</v>
      </c>
      <c r="AK95" s="32">
        <v>143.79999999999998</v>
      </c>
      <c r="AL95" s="32">
        <v>323.61650845737046</v>
      </c>
      <c r="AM95" s="32">
        <v>6</v>
      </c>
      <c r="AN95" s="32">
        <v>0</v>
      </c>
      <c r="AO95" s="32">
        <v>94.273586684927082</v>
      </c>
      <c r="AP95" s="32">
        <v>305.65096122940037</v>
      </c>
      <c r="AQ95" s="32">
        <v>3.7094809579125467</v>
      </c>
      <c r="AR95" s="30">
        <v>0</v>
      </c>
      <c r="AS95" s="30">
        <v>18.36</v>
      </c>
      <c r="AT95" s="30">
        <v>0</v>
      </c>
      <c r="AU95" s="30">
        <v>1.4076000000000002</v>
      </c>
      <c r="AV95" s="30">
        <v>3.7823791066988528E-2</v>
      </c>
      <c r="AW95" s="30">
        <v>5.6140283783472633E-2</v>
      </c>
      <c r="AX95" s="30">
        <v>0</v>
      </c>
      <c r="AY95" s="30">
        <v>13.539424883087573</v>
      </c>
      <c r="AZ95" s="30">
        <v>9.5042876290795369E-3</v>
      </c>
      <c r="BA95" s="30">
        <v>10.746048869871354</v>
      </c>
      <c r="BB95" s="30">
        <v>1.1609537421870437</v>
      </c>
      <c r="BC95" s="30">
        <v>3.3126610834427703</v>
      </c>
      <c r="BD95" s="30">
        <v>0</v>
      </c>
      <c r="BE95" s="30">
        <v>6.0359969504600617</v>
      </c>
      <c r="BF95" s="30">
        <v>4.9893624522360511</v>
      </c>
      <c r="BG95" s="30">
        <v>11.025359402696113</v>
      </c>
      <c r="BH95" s="30">
        <v>11.004768169725349</v>
      </c>
      <c r="BI95" s="30">
        <v>22.03012757242146</v>
      </c>
    </row>
    <row r="96" spans="1:61" ht="15.75" customHeight="1" x14ac:dyDescent="0.2">
      <c r="A96" s="3" t="s">
        <v>827</v>
      </c>
      <c r="B96" s="3" t="s">
        <v>103</v>
      </c>
      <c r="C96" s="3" t="s">
        <v>826</v>
      </c>
      <c r="D96" s="28" t="s">
        <v>692</v>
      </c>
      <c r="E96" s="28" t="s">
        <v>828</v>
      </c>
      <c r="F96" s="32">
        <v>2000</v>
      </c>
      <c r="G96" s="32">
        <v>280</v>
      </c>
      <c r="H96" s="161">
        <v>95</v>
      </c>
      <c r="I96" s="28">
        <v>18.100000000000001</v>
      </c>
      <c r="J96" s="28">
        <v>10.100000000000001</v>
      </c>
      <c r="K96" s="28">
        <v>71.129585003247087</v>
      </c>
      <c r="L96" s="28">
        <v>23.803341902313623</v>
      </c>
      <c r="M96" s="30">
        <v>0</v>
      </c>
      <c r="N96" s="30">
        <v>0</v>
      </c>
      <c r="O96" s="30">
        <v>3.1677702599221993</v>
      </c>
      <c r="P96" s="30">
        <v>0.54000000000000015</v>
      </c>
      <c r="Q96" s="30">
        <v>0.85053038574703055</v>
      </c>
      <c r="R96" s="30">
        <v>0</v>
      </c>
      <c r="S96" s="30">
        <v>0</v>
      </c>
      <c r="T96" s="30">
        <v>0</v>
      </c>
      <c r="U96" s="30">
        <v>0</v>
      </c>
      <c r="V96" s="32">
        <v>233.9413528475053</v>
      </c>
      <c r="W96" s="32">
        <v>862.36934635515104</v>
      </c>
      <c r="X96" s="32">
        <v>905.15409188217188</v>
      </c>
      <c r="Y96" s="32">
        <v>1000.4334699750317</v>
      </c>
      <c r="Z96" s="32">
        <v>1905.5875618572036</v>
      </c>
      <c r="AA96" s="32">
        <v>1101.8839974148455</v>
      </c>
      <c r="AB96" s="28">
        <v>0</v>
      </c>
      <c r="AC96" s="28">
        <v>0</v>
      </c>
      <c r="AD96" s="28">
        <v>0</v>
      </c>
      <c r="AE96" s="28">
        <v>3.5147398445118574</v>
      </c>
      <c r="AF96" s="28">
        <v>1.5</v>
      </c>
      <c r="AG96" s="28">
        <v>0</v>
      </c>
      <c r="AH96" s="28">
        <v>7.2011675819355645</v>
      </c>
      <c r="AI96" s="32">
        <v>166.63408032558795</v>
      </c>
      <c r="AJ96" s="30">
        <v>1.1632809087856788</v>
      </c>
      <c r="AK96" s="32">
        <v>143.79999999999998</v>
      </c>
      <c r="AL96" s="32">
        <v>323.61650845737046</v>
      </c>
      <c r="AM96" s="32">
        <v>6</v>
      </c>
      <c r="AN96" s="32">
        <v>0</v>
      </c>
      <c r="AO96" s="32">
        <v>95.773586684927082</v>
      </c>
      <c r="AP96" s="32">
        <v>305.65096122940037</v>
      </c>
      <c r="AQ96" s="32">
        <v>10.910648539848111</v>
      </c>
      <c r="AR96" s="30">
        <v>0</v>
      </c>
      <c r="AS96" s="30">
        <v>18.36</v>
      </c>
      <c r="AT96" s="30">
        <v>0</v>
      </c>
      <c r="AU96" s="30">
        <v>1.4076000000000002</v>
      </c>
      <c r="AV96" s="30">
        <v>4.3868334933989568E-2</v>
      </c>
      <c r="AW96" s="30">
        <v>0.10000861871746219</v>
      </c>
      <c r="AX96" s="30">
        <v>0</v>
      </c>
      <c r="AY96" s="30">
        <v>13.539424883087573</v>
      </c>
      <c r="AZ96" s="30">
        <v>7.5575110624555046E-3</v>
      </c>
      <c r="BA96" s="30">
        <v>10.753606380933808</v>
      </c>
      <c r="BB96" s="30">
        <v>1.1035233025070486</v>
      </c>
      <c r="BC96" s="30">
        <v>3.2612352374463254</v>
      </c>
      <c r="BD96" s="30">
        <v>0</v>
      </c>
      <c r="BE96" s="30">
        <v>6.0359969504600617</v>
      </c>
      <c r="BF96" s="30">
        <v>4.9893624522360511</v>
      </c>
      <c r="BG96" s="30">
        <v>11.025359402696113</v>
      </c>
      <c r="BH96" s="30">
        <v>11.004768169725349</v>
      </c>
      <c r="BI96" s="30">
        <v>22.03012757242146</v>
      </c>
    </row>
    <row r="97" spans="1:61" ht="15.75" customHeight="1" x14ac:dyDescent="0.2">
      <c r="A97" s="3" t="s">
        <v>827</v>
      </c>
      <c r="B97" s="3" t="s">
        <v>103</v>
      </c>
      <c r="C97" s="3" t="s">
        <v>826</v>
      </c>
      <c r="D97" s="28" t="s">
        <v>692</v>
      </c>
      <c r="E97" s="28" t="s">
        <v>828</v>
      </c>
      <c r="F97" s="32">
        <v>2000</v>
      </c>
      <c r="G97" s="32">
        <v>281</v>
      </c>
      <c r="H97" s="161">
        <v>96</v>
      </c>
      <c r="I97" s="28">
        <v>18.899999999999999</v>
      </c>
      <c r="J97" s="28">
        <v>10.899999999999999</v>
      </c>
      <c r="K97" s="28">
        <v>71.548815772477852</v>
      </c>
      <c r="L97" s="28">
        <v>23.803341902313623</v>
      </c>
      <c r="M97" s="30">
        <v>0</v>
      </c>
      <c r="N97" s="30">
        <v>0</v>
      </c>
      <c r="O97" s="30">
        <v>3.1677702599221993</v>
      </c>
      <c r="P97" s="30">
        <v>0.59333333333333327</v>
      </c>
      <c r="Q97" s="30">
        <v>0.85053038574703055</v>
      </c>
      <c r="R97" s="30">
        <v>0</v>
      </c>
      <c r="S97" s="30">
        <v>0</v>
      </c>
      <c r="T97" s="30">
        <v>0</v>
      </c>
      <c r="U97" s="30">
        <v>0</v>
      </c>
      <c r="V97" s="32">
        <v>233.9413528475053</v>
      </c>
      <c r="W97" s="32">
        <v>862.36934635515104</v>
      </c>
      <c r="X97" s="32">
        <v>905.15409188217188</v>
      </c>
      <c r="Y97" s="32">
        <v>1000.4334699750317</v>
      </c>
      <c r="Z97" s="32">
        <v>1905.5875618572036</v>
      </c>
      <c r="AA97" s="32">
        <v>1101.8839974148455</v>
      </c>
      <c r="AB97" s="28">
        <v>0</v>
      </c>
      <c r="AC97" s="28">
        <v>0</v>
      </c>
      <c r="AD97" s="28">
        <v>0</v>
      </c>
      <c r="AE97" s="28">
        <v>2.1541204893449222</v>
      </c>
      <c r="AF97" s="28">
        <v>1.5</v>
      </c>
      <c r="AG97" s="28">
        <v>0</v>
      </c>
      <c r="AH97" s="28">
        <v>7.8392149647421832</v>
      </c>
      <c r="AI97" s="32">
        <v>158.3828657882629</v>
      </c>
      <c r="AJ97" s="30">
        <v>1.105678764453556</v>
      </c>
      <c r="AK97" s="32">
        <v>143.79999999999998</v>
      </c>
      <c r="AL97" s="32">
        <v>323.61650845737046</v>
      </c>
      <c r="AM97" s="32">
        <v>6</v>
      </c>
      <c r="AN97" s="32">
        <v>0</v>
      </c>
      <c r="AO97" s="32">
        <v>97.273586684927082</v>
      </c>
      <c r="AP97" s="32">
        <v>305.65096122940037</v>
      </c>
      <c r="AQ97" s="32">
        <v>18.749863504590294</v>
      </c>
      <c r="AR97" s="30">
        <v>0</v>
      </c>
      <c r="AS97" s="30">
        <v>18.36</v>
      </c>
      <c r="AT97" s="30">
        <v>0</v>
      </c>
      <c r="AU97" s="30">
        <v>1.4076000000000002</v>
      </c>
      <c r="AV97" s="30">
        <v>4.1457161620504876E-2</v>
      </c>
      <c r="AW97" s="30">
        <v>0.14146578033796708</v>
      </c>
      <c r="AX97" s="30">
        <v>3.3104801342485932E-2</v>
      </c>
      <c r="AY97" s="30">
        <v>13.572529684430059</v>
      </c>
      <c r="AZ97" s="30">
        <v>6.1215403296429475E-3</v>
      </c>
      <c r="BA97" s="30">
        <v>10.759727921263451</v>
      </c>
      <c r="BB97" s="30">
        <v>1.0699574870336226</v>
      </c>
      <c r="BC97" s="30">
        <v>3.246761336838663</v>
      </c>
      <c r="BD97" s="30">
        <v>0</v>
      </c>
      <c r="BE97" s="30">
        <v>6.0359969504600617</v>
      </c>
      <c r="BF97" s="30">
        <v>4.9893624522360511</v>
      </c>
      <c r="BG97" s="30">
        <v>11.025359402696113</v>
      </c>
      <c r="BH97" s="30">
        <v>11.004768169725349</v>
      </c>
      <c r="BI97" s="30">
        <v>22.03012757242146</v>
      </c>
    </row>
    <row r="98" spans="1:61" ht="15.75" customHeight="1" x14ac:dyDescent="0.2">
      <c r="A98" s="3" t="s">
        <v>827</v>
      </c>
      <c r="B98" s="3" t="s">
        <v>103</v>
      </c>
      <c r="C98" s="3" t="s">
        <v>826</v>
      </c>
      <c r="D98" s="28" t="s">
        <v>692</v>
      </c>
      <c r="E98" s="28" t="s">
        <v>828</v>
      </c>
      <c r="F98" s="32">
        <v>2000</v>
      </c>
      <c r="G98" s="32">
        <v>282</v>
      </c>
      <c r="H98" s="161">
        <v>97</v>
      </c>
      <c r="I98" s="28">
        <v>21.5</v>
      </c>
      <c r="J98" s="28">
        <v>13.500000000000002</v>
      </c>
      <c r="K98" s="28">
        <v>72.068046541708625</v>
      </c>
      <c r="L98" s="28">
        <v>23.803341902313623</v>
      </c>
      <c r="M98" s="30">
        <v>0</v>
      </c>
      <c r="N98" s="30">
        <v>0</v>
      </c>
      <c r="O98" s="30">
        <v>3.1677702599221993</v>
      </c>
      <c r="P98" s="30">
        <v>0.76666666666666672</v>
      </c>
      <c r="Q98" s="30">
        <v>0.85053038574703055</v>
      </c>
      <c r="R98" s="30">
        <v>0</v>
      </c>
      <c r="S98" s="30">
        <v>0</v>
      </c>
      <c r="T98" s="30">
        <v>0</v>
      </c>
      <c r="U98" s="30">
        <v>0</v>
      </c>
      <c r="V98" s="32">
        <v>233.9413528475053</v>
      </c>
      <c r="W98" s="32">
        <v>862.36934635515104</v>
      </c>
      <c r="X98" s="32">
        <v>905.15409188217188</v>
      </c>
      <c r="Y98" s="32">
        <v>1000.4334699750317</v>
      </c>
      <c r="Z98" s="32">
        <v>1905.5875618572036</v>
      </c>
      <c r="AA98" s="32">
        <v>1101.8839974148455</v>
      </c>
      <c r="AB98" s="28">
        <v>0</v>
      </c>
      <c r="AC98" s="28">
        <v>0</v>
      </c>
      <c r="AD98" s="28">
        <v>0</v>
      </c>
      <c r="AE98" s="28">
        <v>1.8571593738087138</v>
      </c>
      <c r="AF98" s="28">
        <v>1.5</v>
      </c>
      <c r="AG98" s="28">
        <v>0</v>
      </c>
      <c r="AH98" s="28">
        <v>7.0193531000955005</v>
      </c>
      <c r="AI98" s="32">
        <v>151.68254201530394</v>
      </c>
      <c r="AJ98" s="30">
        <v>1.0589034666721144</v>
      </c>
      <c r="AK98" s="32">
        <v>143.79999999999998</v>
      </c>
      <c r="AL98" s="32">
        <v>323.61650845737046</v>
      </c>
      <c r="AM98" s="32">
        <v>6</v>
      </c>
      <c r="AN98" s="32">
        <v>0</v>
      </c>
      <c r="AO98" s="32">
        <v>98.773586684927082</v>
      </c>
      <c r="AP98" s="32">
        <v>305.65096122940037</v>
      </c>
      <c r="AQ98" s="32">
        <v>25.769216604685795</v>
      </c>
      <c r="AR98" s="30">
        <v>0</v>
      </c>
      <c r="AS98" s="30">
        <v>18.36</v>
      </c>
      <c r="AT98" s="30">
        <v>0</v>
      </c>
      <c r="AU98" s="30">
        <v>1.4076000000000002</v>
      </c>
      <c r="AV98" s="30">
        <v>3.4761859218142531E-2</v>
      </c>
      <c r="AW98" s="30">
        <v>0.17622763955610962</v>
      </c>
      <c r="AX98" s="30">
        <v>5.7416859105189663E-2</v>
      </c>
      <c r="AY98" s="30">
        <v>13.629946543535249</v>
      </c>
      <c r="AZ98" s="30">
        <v>7.0622873782210781E-3</v>
      </c>
      <c r="BA98" s="30">
        <v>10.766790208641671</v>
      </c>
      <c r="BB98" s="30">
        <v>1.0559500270342699</v>
      </c>
      <c r="BC98" s="30">
        <v>3.2623540493474894</v>
      </c>
      <c r="BD98" s="30">
        <v>0</v>
      </c>
      <c r="BE98" s="30">
        <v>6.0359969504600617</v>
      </c>
      <c r="BF98" s="30">
        <v>4.9893624522360511</v>
      </c>
      <c r="BG98" s="30">
        <v>11.025359402696113</v>
      </c>
      <c r="BH98" s="30">
        <v>11.004768169725349</v>
      </c>
      <c r="BI98" s="30">
        <v>22.03012757242146</v>
      </c>
    </row>
    <row r="99" spans="1:61" ht="15.75" customHeight="1" x14ac:dyDescent="0.2">
      <c r="A99" s="3" t="s">
        <v>827</v>
      </c>
      <c r="B99" s="3" t="s">
        <v>103</v>
      </c>
      <c r="C99" s="3" t="s">
        <v>826</v>
      </c>
      <c r="D99" s="28" t="s">
        <v>692</v>
      </c>
      <c r="E99" s="28" t="s">
        <v>828</v>
      </c>
      <c r="F99" s="32">
        <v>2000</v>
      </c>
      <c r="G99" s="32">
        <v>283</v>
      </c>
      <c r="H99" s="161">
        <v>98</v>
      </c>
      <c r="I99" s="28">
        <v>20.7</v>
      </c>
      <c r="J99" s="28">
        <v>12.7</v>
      </c>
      <c r="K99" s="28">
        <v>72.556508080170161</v>
      </c>
      <c r="L99" s="28">
        <v>23.803341902313623</v>
      </c>
      <c r="M99" s="30">
        <v>0</v>
      </c>
      <c r="N99" s="30">
        <v>0</v>
      </c>
      <c r="O99" s="30">
        <v>3.1677702599221993</v>
      </c>
      <c r="P99" s="30">
        <v>0.71333333333333326</v>
      </c>
      <c r="Q99" s="30">
        <v>0.85053038574703055</v>
      </c>
      <c r="R99" s="30">
        <v>0</v>
      </c>
      <c r="S99" s="30">
        <v>0</v>
      </c>
      <c r="T99" s="30">
        <v>0</v>
      </c>
      <c r="U99" s="30">
        <v>0</v>
      </c>
      <c r="V99" s="32">
        <v>233.9413528475053</v>
      </c>
      <c r="W99" s="32">
        <v>862.36934635515104</v>
      </c>
      <c r="X99" s="32">
        <v>905.15409188217188</v>
      </c>
      <c r="Y99" s="32">
        <v>1000.4334699750317</v>
      </c>
      <c r="Z99" s="32">
        <v>1905.5875618572036</v>
      </c>
      <c r="AA99" s="32">
        <v>1101.8839974148455</v>
      </c>
      <c r="AB99" s="28">
        <v>0</v>
      </c>
      <c r="AC99" s="28">
        <v>0</v>
      </c>
      <c r="AD99" s="28">
        <v>0</v>
      </c>
      <c r="AE99" s="28">
        <v>2.7992093562263554</v>
      </c>
      <c r="AF99" s="28">
        <v>1.5</v>
      </c>
      <c r="AG99" s="28">
        <v>0</v>
      </c>
      <c r="AH99" s="28">
        <v>5.6486249841759815</v>
      </c>
      <c r="AI99" s="32">
        <v>146.406216988653</v>
      </c>
      <c r="AJ99" s="30">
        <v>1.0220691758712273</v>
      </c>
      <c r="AK99" s="32">
        <v>143.79999999999998</v>
      </c>
      <c r="AL99" s="32">
        <v>323.61650845737046</v>
      </c>
      <c r="AM99" s="32">
        <v>6</v>
      </c>
      <c r="AN99" s="32">
        <v>0</v>
      </c>
      <c r="AO99" s="32">
        <v>100.27358668492708</v>
      </c>
      <c r="AP99" s="32">
        <v>305.65096122940037</v>
      </c>
      <c r="AQ99" s="32">
        <v>31.417841588861776</v>
      </c>
      <c r="AR99" s="30">
        <v>0</v>
      </c>
      <c r="AS99" s="30">
        <v>18.36</v>
      </c>
      <c r="AT99" s="30">
        <v>0</v>
      </c>
      <c r="AU99" s="30">
        <v>1.4076000000000002</v>
      </c>
      <c r="AV99" s="30">
        <v>2.6852058933312085E-2</v>
      </c>
      <c r="AW99" s="30">
        <v>0.2030796984894217</v>
      </c>
      <c r="AX99" s="30">
        <v>4.8732810672108155E-2</v>
      </c>
      <c r="AY99" s="30">
        <v>13.678679354207357</v>
      </c>
      <c r="AZ99" s="30">
        <v>6.3047401775131497E-3</v>
      </c>
      <c r="BA99" s="30">
        <v>10.773094948819185</v>
      </c>
      <c r="BB99" s="30">
        <v>1.0457391579176785</v>
      </c>
      <c r="BC99" s="30">
        <v>3.2779300609087723</v>
      </c>
      <c r="BD99" s="30">
        <v>0</v>
      </c>
      <c r="BE99" s="30">
        <v>6.0359969504600617</v>
      </c>
      <c r="BF99" s="30">
        <v>4.9893624522360511</v>
      </c>
      <c r="BG99" s="30">
        <v>11.025359402696113</v>
      </c>
      <c r="BH99" s="30">
        <v>11.004768169725349</v>
      </c>
      <c r="BI99" s="30">
        <v>22.03012757242146</v>
      </c>
    </row>
    <row r="100" spans="1:61" ht="15.75" customHeight="1" x14ac:dyDescent="0.2">
      <c r="A100" s="3" t="s">
        <v>827</v>
      </c>
      <c r="B100" s="3" t="s">
        <v>103</v>
      </c>
      <c r="C100" s="3" t="s">
        <v>826</v>
      </c>
      <c r="D100" s="28" t="s">
        <v>692</v>
      </c>
      <c r="E100" s="28" t="s">
        <v>828</v>
      </c>
      <c r="F100" s="32">
        <v>2000</v>
      </c>
      <c r="G100" s="32">
        <v>284</v>
      </c>
      <c r="H100" s="161">
        <v>99</v>
      </c>
      <c r="I100" s="28">
        <v>21.2</v>
      </c>
      <c r="J100" s="28">
        <v>13.2</v>
      </c>
      <c r="K100" s="28">
        <v>73.064200387862471</v>
      </c>
      <c r="L100" s="28">
        <v>23.803341902313623</v>
      </c>
      <c r="M100" s="30">
        <v>0</v>
      </c>
      <c r="N100" s="30">
        <v>0</v>
      </c>
      <c r="O100" s="30">
        <v>3.1677702599221993</v>
      </c>
      <c r="P100" s="30">
        <v>0.74666666666666659</v>
      </c>
      <c r="Q100" s="30">
        <v>0.85053038574703055</v>
      </c>
      <c r="R100" s="30">
        <v>0</v>
      </c>
      <c r="S100" s="30">
        <v>0</v>
      </c>
      <c r="T100" s="30">
        <v>0</v>
      </c>
      <c r="U100" s="30">
        <v>0</v>
      </c>
      <c r="V100" s="32">
        <v>233.9413528475053</v>
      </c>
      <c r="W100" s="32">
        <v>862.36934635515104</v>
      </c>
      <c r="X100" s="32">
        <v>905.15409188217188</v>
      </c>
      <c r="Y100" s="32">
        <v>1000.4334699750317</v>
      </c>
      <c r="Z100" s="32">
        <v>1905.5875618572036</v>
      </c>
      <c r="AA100" s="32">
        <v>1101.8839974148455</v>
      </c>
      <c r="AB100" s="28">
        <v>0</v>
      </c>
      <c r="AC100" s="28">
        <v>0</v>
      </c>
      <c r="AD100" s="28">
        <v>0</v>
      </c>
      <c r="AE100" s="28">
        <v>3.3845611331192171</v>
      </c>
      <c r="AF100" s="28">
        <v>1.5</v>
      </c>
      <c r="AG100" s="28">
        <v>0</v>
      </c>
      <c r="AH100" s="28">
        <v>4.237754826708823</v>
      </c>
      <c r="AI100" s="32">
        <v>142.28143848197777</v>
      </c>
      <c r="AJ100" s="30">
        <v>0.99327388933434713</v>
      </c>
      <c r="AK100" s="32">
        <v>143.79999999999998</v>
      </c>
      <c r="AL100" s="32">
        <v>323.61650845737046</v>
      </c>
      <c r="AM100" s="32">
        <v>6</v>
      </c>
      <c r="AN100" s="32">
        <v>0</v>
      </c>
      <c r="AO100" s="32">
        <v>101.77358668492708</v>
      </c>
      <c r="AP100" s="32">
        <v>305.65096122940037</v>
      </c>
      <c r="AQ100" s="32">
        <v>35.655596415570599</v>
      </c>
      <c r="AR100" s="30">
        <v>0</v>
      </c>
      <c r="AS100" s="30">
        <v>18.36</v>
      </c>
      <c r="AT100" s="30">
        <v>0</v>
      </c>
      <c r="AU100" s="30">
        <v>1.4076000000000002</v>
      </c>
      <c r="AV100" s="30">
        <v>1.9532100963493657E-2</v>
      </c>
      <c r="AW100" s="30">
        <v>0.22261179945291537</v>
      </c>
      <c r="AX100" s="30">
        <v>4.5098794844253533E-2</v>
      </c>
      <c r="AY100" s="30">
        <v>13.723778149051611</v>
      </c>
      <c r="AZ100" s="30">
        <v>6.2565365451000988E-3</v>
      </c>
      <c r="BA100" s="30">
        <v>10.779351485364286</v>
      </c>
      <c r="BB100" s="30">
        <v>1.0395107380272821</v>
      </c>
      <c r="BC100" s="30">
        <v>3.2972402182444318</v>
      </c>
      <c r="BD100" s="30">
        <v>0</v>
      </c>
      <c r="BE100" s="30">
        <v>6.0359969504600617</v>
      </c>
      <c r="BF100" s="30">
        <v>4.9893624522360511</v>
      </c>
      <c r="BG100" s="30">
        <v>11.025359402696113</v>
      </c>
      <c r="BH100" s="30">
        <v>11.004768169725349</v>
      </c>
      <c r="BI100" s="30">
        <v>22.03012757242146</v>
      </c>
    </row>
    <row r="101" spans="1:61" ht="15.75" customHeight="1" x14ac:dyDescent="0.2">
      <c r="A101" s="3" t="s">
        <v>827</v>
      </c>
      <c r="B101" s="3" t="s">
        <v>103</v>
      </c>
      <c r="C101" s="3" t="s">
        <v>826</v>
      </c>
      <c r="D101" s="28" t="s">
        <v>692</v>
      </c>
      <c r="E101" s="28" t="s">
        <v>828</v>
      </c>
      <c r="F101" s="32">
        <v>2000</v>
      </c>
      <c r="G101" s="32">
        <v>285</v>
      </c>
      <c r="H101" s="161">
        <v>100</v>
      </c>
      <c r="I101" s="28">
        <v>21.9</v>
      </c>
      <c r="J101" s="28">
        <v>13.9</v>
      </c>
      <c r="K101" s="28">
        <v>73.598815772477849</v>
      </c>
      <c r="L101" s="28">
        <v>23.803341902313623</v>
      </c>
      <c r="M101" s="30">
        <v>0</v>
      </c>
      <c r="N101" s="30">
        <v>0</v>
      </c>
      <c r="O101" s="30">
        <v>3.1677702599221993</v>
      </c>
      <c r="P101" s="30">
        <v>0.79333333333333322</v>
      </c>
      <c r="Q101" s="30">
        <v>0.85053038574703055</v>
      </c>
      <c r="R101" s="30">
        <v>0</v>
      </c>
      <c r="S101" s="30">
        <v>0</v>
      </c>
      <c r="T101" s="30">
        <v>0</v>
      </c>
      <c r="U101" s="30">
        <v>0</v>
      </c>
      <c r="V101" s="32">
        <v>233.9413528475053</v>
      </c>
      <c r="W101" s="32">
        <v>862.36934635515104</v>
      </c>
      <c r="X101" s="32">
        <v>905.15409188217188</v>
      </c>
      <c r="Y101" s="32">
        <v>1000.4334699750317</v>
      </c>
      <c r="Z101" s="32">
        <v>1905.5875618572036</v>
      </c>
      <c r="AA101" s="32">
        <v>1101.8839974148455</v>
      </c>
      <c r="AB101" s="28">
        <v>0</v>
      </c>
      <c r="AC101" s="28">
        <v>0</v>
      </c>
      <c r="AD101" s="28">
        <v>0</v>
      </c>
      <c r="AE101" s="28">
        <v>3.7875602783550573</v>
      </c>
      <c r="AF101" s="28">
        <v>1.5</v>
      </c>
      <c r="AG101" s="28">
        <v>0</v>
      </c>
      <c r="AH101" s="28">
        <v>3.0222977919050464</v>
      </c>
      <c r="AI101" s="32">
        <v>139.01815803070713</v>
      </c>
      <c r="AJ101" s="30">
        <v>0.97049276411938867</v>
      </c>
      <c r="AK101" s="32">
        <v>143.79999999999998</v>
      </c>
      <c r="AL101" s="32">
        <v>323.61650845737046</v>
      </c>
      <c r="AM101" s="32">
        <v>6</v>
      </c>
      <c r="AN101" s="32">
        <v>0</v>
      </c>
      <c r="AO101" s="32">
        <v>103.27358668492708</v>
      </c>
      <c r="AP101" s="32">
        <v>305.65096122940037</v>
      </c>
      <c r="AQ101" s="32">
        <v>38.677894207475646</v>
      </c>
      <c r="AR101" s="30">
        <v>0</v>
      </c>
      <c r="AS101" s="30">
        <v>18.36</v>
      </c>
      <c r="AT101" s="30">
        <v>0</v>
      </c>
      <c r="AU101" s="30">
        <v>1.4076000000000002</v>
      </c>
      <c r="AV101" s="30">
        <v>1.3574057503179382E-2</v>
      </c>
      <c r="AW101" s="30">
        <v>0.23618585695609476</v>
      </c>
      <c r="AX101" s="30">
        <v>4.183597660029495E-2</v>
      </c>
      <c r="AY101" s="30">
        <v>13.765614125651906</v>
      </c>
      <c r="AZ101" s="30">
        <v>6.3080763499044111E-3</v>
      </c>
      <c r="BA101" s="30">
        <v>10.785659561714191</v>
      </c>
      <c r="BB101" s="30">
        <v>1.035238864919658</v>
      </c>
      <c r="BC101" s="30">
        <v>3.3191940609916433</v>
      </c>
      <c r="BD101" s="30">
        <v>0</v>
      </c>
      <c r="BE101" s="30">
        <v>6.0359969504600617</v>
      </c>
      <c r="BF101" s="30">
        <v>4.9893624522360511</v>
      </c>
      <c r="BG101" s="30">
        <v>11.025359402696113</v>
      </c>
      <c r="BH101" s="30">
        <v>11.004768169725349</v>
      </c>
      <c r="BI101" s="30">
        <v>22.03012757242146</v>
      </c>
    </row>
    <row r="102" spans="1:61" ht="15.75" customHeight="1" x14ac:dyDescent="0.2">
      <c r="A102" s="3" t="s">
        <v>827</v>
      </c>
      <c r="B102" s="3" t="s">
        <v>103</v>
      </c>
      <c r="C102" s="3" t="s">
        <v>826</v>
      </c>
      <c r="D102" s="28" t="s">
        <v>692</v>
      </c>
      <c r="E102" s="28" t="s">
        <v>828</v>
      </c>
      <c r="F102" s="32">
        <v>2000</v>
      </c>
      <c r="G102" s="32">
        <v>286</v>
      </c>
      <c r="H102" s="161">
        <v>101</v>
      </c>
      <c r="I102" s="28">
        <v>19.2</v>
      </c>
      <c r="J102" s="28">
        <v>11.2</v>
      </c>
      <c r="K102" s="28">
        <v>74.029585003247078</v>
      </c>
      <c r="L102" s="28">
        <v>23.803341902313623</v>
      </c>
      <c r="M102" s="30">
        <v>0</v>
      </c>
      <c r="N102" s="30">
        <v>0</v>
      </c>
      <c r="O102" s="30">
        <v>3.1677702599221993</v>
      </c>
      <c r="P102" s="30">
        <v>0.61333333333333329</v>
      </c>
      <c r="Q102" s="30">
        <v>0.85053038574703055</v>
      </c>
      <c r="R102" s="30">
        <v>0</v>
      </c>
      <c r="S102" s="30">
        <v>0</v>
      </c>
      <c r="T102" s="30">
        <v>0</v>
      </c>
      <c r="U102" s="30">
        <v>0</v>
      </c>
      <c r="V102" s="32">
        <v>233.9413528475053</v>
      </c>
      <c r="W102" s="32">
        <v>862.36934635515104</v>
      </c>
      <c r="X102" s="32">
        <v>905.15409188217188</v>
      </c>
      <c r="Y102" s="32">
        <v>1000.4334699750317</v>
      </c>
      <c r="Z102" s="32">
        <v>1905.5875618572036</v>
      </c>
      <c r="AA102" s="32">
        <v>1101.8839974148455</v>
      </c>
      <c r="AB102" s="28">
        <v>0</v>
      </c>
      <c r="AC102" s="28">
        <v>0</v>
      </c>
      <c r="AD102" s="28">
        <v>0</v>
      </c>
      <c r="AE102" s="28">
        <v>3.6898707588024426</v>
      </c>
      <c r="AF102" s="28">
        <v>1.5</v>
      </c>
      <c r="AG102" s="28">
        <v>0</v>
      </c>
      <c r="AH102" s="28">
        <v>2.0735662670788741</v>
      </c>
      <c r="AI102" s="32">
        <v>136.36562261066305</v>
      </c>
      <c r="AJ102" s="30">
        <v>0.95197528073312099</v>
      </c>
      <c r="AK102" s="32">
        <v>143.79999999999998</v>
      </c>
      <c r="AL102" s="32">
        <v>323.61650845737046</v>
      </c>
      <c r="AM102" s="32">
        <v>6</v>
      </c>
      <c r="AN102" s="32">
        <v>0</v>
      </c>
      <c r="AO102" s="32">
        <v>104.77358668492708</v>
      </c>
      <c r="AP102" s="32">
        <v>305.65096122940037</v>
      </c>
      <c r="AQ102" s="32">
        <v>40.75146047455452</v>
      </c>
      <c r="AR102" s="30">
        <v>0</v>
      </c>
      <c r="AS102" s="30">
        <v>18.36</v>
      </c>
      <c r="AT102" s="30">
        <v>0</v>
      </c>
      <c r="AU102" s="30">
        <v>1.4076000000000002</v>
      </c>
      <c r="AV102" s="30">
        <v>9.1043630847334588E-3</v>
      </c>
      <c r="AW102" s="30">
        <v>0.24529022004082821</v>
      </c>
      <c r="AX102" s="30">
        <v>2.976932847199092E-2</v>
      </c>
      <c r="AY102" s="30">
        <v>13.795383454123897</v>
      </c>
      <c r="AZ102" s="30">
        <v>4.9098550247439832E-3</v>
      </c>
      <c r="BA102" s="30">
        <v>10.790569416738935</v>
      </c>
      <c r="BB102" s="30">
        <v>1.0286286757751182</v>
      </c>
      <c r="BC102" s="30">
        <v>3.3349491713541561</v>
      </c>
      <c r="BD102" s="30">
        <v>0</v>
      </c>
      <c r="BE102" s="30">
        <v>6.0359969504600617</v>
      </c>
      <c r="BF102" s="30">
        <v>4.9893624522360511</v>
      </c>
      <c r="BG102" s="30">
        <v>11.025359402696113</v>
      </c>
      <c r="BH102" s="30">
        <v>11.004768169725349</v>
      </c>
      <c r="BI102" s="30">
        <v>22.03012757242146</v>
      </c>
    </row>
    <row r="103" spans="1:61" ht="15.75" customHeight="1" x14ac:dyDescent="0.2">
      <c r="A103" s="3" t="s">
        <v>827</v>
      </c>
      <c r="B103" s="3" t="s">
        <v>103</v>
      </c>
      <c r="C103" s="3" t="s">
        <v>826</v>
      </c>
      <c r="D103" s="28" t="s">
        <v>692</v>
      </c>
      <c r="E103" s="28" t="s">
        <v>828</v>
      </c>
      <c r="F103" s="32">
        <v>2000</v>
      </c>
      <c r="G103" s="32">
        <v>287</v>
      </c>
      <c r="H103" s="161">
        <v>102</v>
      </c>
      <c r="I103" s="28">
        <v>21.2</v>
      </c>
      <c r="J103" s="28">
        <v>13.2</v>
      </c>
      <c r="K103" s="28">
        <v>74.537277310939388</v>
      </c>
      <c r="L103" s="28">
        <v>23.803341902313623</v>
      </c>
      <c r="M103" s="30">
        <v>0</v>
      </c>
      <c r="N103" s="30">
        <v>0</v>
      </c>
      <c r="O103" s="30">
        <v>3.1677702599221993</v>
      </c>
      <c r="P103" s="30">
        <v>0.74666666666666659</v>
      </c>
      <c r="Q103" s="30">
        <v>0.85053038574703055</v>
      </c>
      <c r="R103" s="30">
        <v>0</v>
      </c>
      <c r="S103" s="30">
        <v>0</v>
      </c>
      <c r="T103" s="30">
        <v>0</v>
      </c>
      <c r="U103" s="30">
        <v>0</v>
      </c>
      <c r="V103" s="32">
        <v>233.9413528475053</v>
      </c>
      <c r="W103" s="32">
        <v>862.36934635515104</v>
      </c>
      <c r="X103" s="32">
        <v>905.15409188217188</v>
      </c>
      <c r="Y103" s="32">
        <v>1000.4334699750317</v>
      </c>
      <c r="Z103" s="32">
        <v>1905.5875618572036</v>
      </c>
      <c r="AA103" s="32">
        <v>1101.8839974148455</v>
      </c>
      <c r="AB103" s="28">
        <v>0.4</v>
      </c>
      <c r="AC103" s="28">
        <v>0</v>
      </c>
      <c r="AD103" s="28">
        <v>0</v>
      </c>
      <c r="AE103" s="28">
        <v>0.85159925284935145</v>
      </c>
      <c r="AF103" s="28">
        <v>1.978192441055044E-2</v>
      </c>
      <c r="AG103" s="28">
        <v>0</v>
      </c>
      <c r="AH103" s="28">
        <v>1.3795241981435922</v>
      </c>
      <c r="AI103" s="32">
        <v>136.00932158389847</v>
      </c>
      <c r="AJ103" s="30">
        <v>0.94948792531695336</v>
      </c>
      <c r="AK103" s="32">
        <v>144.19999999999999</v>
      </c>
      <c r="AL103" s="32">
        <v>323.61650845737046</v>
      </c>
      <c r="AM103" s="32">
        <v>6</v>
      </c>
      <c r="AN103" s="32">
        <v>0</v>
      </c>
      <c r="AO103" s="32">
        <v>104.79336860933763</v>
      </c>
      <c r="AP103" s="32">
        <v>305.65096122940037</v>
      </c>
      <c r="AQ103" s="32">
        <v>42.130984672698112</v>
      </c>
      <c r="AR103" s="30">
        <v>0</v>
      </c>
      <c r="AS103" s="30">
        <v>18.36</v>
      </c>
      <c r="AT103" s="30">
        <v>0</v>
      </c>
      <c r="AU103" s="30">
        <v>1.4076000000000002</v>
      </c>
      <c r="AV103" s="30">
        <v>5.9363070295768653E-3</v>
      </c>
      <c r="AW103" s="30">
        <v>0.25122652707040505</v>
      </c>
      <c r="AX103" s="30">
        <v>3.5415968902230505E-2</v>
      </c>
      <c r="AY103" s="30">
        <v>13.830799423026127</v>
      </c>
      <c r="AZ103" s="30">
        <v>5.5070653637632489E-3</v>
      </c>
      <c r="BA103" s="30">
        <v>10.796076482102698</v>
      </c>
      <c r="BB103" s="30">
        <v>1.0355074534587345</v>
      </c>
      <c r="BC103" s="30">
        <v>3.358921767863047</v>
      </c>
      <c r="BD103" s="30">
        <v>0</v>
      </c>
      <c r="BE103" s="30">
        <v>6.0359969504600617</v>
      </c>
      <c r="BF103" s="30">
        <v>4.9893624522360511</v>
      </c>
      <c r="BG103" s="30">
        <v>11.025359402696113</v>
      </c>
      <c r="BH103" s="30">
        <v>11.004768169725349</v>
      </c>
      <c r="BI103" s="30">
        <v>22.03012757242146</v>
      </c>
    </row>
    <row r="104" spans="1:61" ht="15.75" customHeight="1" x14ac:dyDescent="0.2">
      <c r="H104" s="161"/>
    </row>
    <row r="105" spans="1:61" ht="15.75" customHeight="1" x14ac:dyDescent="0.2">
      <c r="H105" s="161"/>
    </row>
    <row r="106" spans="1:61" ht="15.75" customHeight="1" x14ac:dyDescent="0.2">
      <c r="H106" s="161"/>
    </row>
    <row r="107" spans="1:61" ht="15.75" customHeight="1" x14ac:dyDescent="0.2">
      <c r="H107" s="161"/>
    </row>
    <row r="108" spans="1:61" ht="15.75" customHeight="1" x14ac:dyDescent="0.2">
      <c r="H108" s="161"/>
    </row>
    <row r="109" spans="1:61" ht="15.75" customHeight="1" x14ac:dyDescent="0.2">
      <c r="H109" s="161"/>
    </row>
    <row r="110" spans="1:61" ht="15.75" customHeight="1" x14ac:dyDescent="0.2">
      <c r="H110" s="161"/>
    </row>
    <row r="111" spans="1:61" ht="15.75" customHeight="1" x14ac:dyDescent="0.2">
      <c r="H111" s="161"/>
    </row>
    <row r="112" spans="1:61" ht="15.75" customHeight="1" x14ac:dyDescent="0.2">
      <c r="H112" s="161"/>
    </row>
    <row r="113" spans="8:8" ht="15.75" customHeight="1" x14ac:dyDescent="0.2">
      <c r="H113" s="161"/>
    </row>
    <row r="114" spans="8:8" ht="15.75" customHeight="1" x14ac:dyDescent="0.2">
      <c r="H114" s="161"/>
    </row>
    <row r="115" spans="8:8" ht="15.75" customHeight="1" x14ac:dyDescent="0.2">
      <c r="H115" s="161"/>
    </row>
    <row r="116" spans="8:8" ht="15.75" customHeight="1" x14ac:dyDescent="0.2">
      <c r="H116" s="161"/>
    </row>
    <row r="117" spans="8:8" ht="15.75" customHeight="1" x14ac:dyDescent="0.2">
      <c r="H117" s="161"/>
    </row>
    <row r="118" spans="8:8" ht="15.75" customHeight="1" x14ac:dyDescent="0.2">
      <c r="H118" s="161"/>
    </row>
    <row r="119" spans="8:8" ht="15.75" customHeight="1" x14ac:dyDescent="0.2">
      <c r="H119" s="161"/>
    </row>
    <row r="120" spans="8:8" ht="15.75" customHeight="1" x14ac:dyDescent="0.2">
      <c r="H120" s="161"/>
    </row>
    <row r="121" spans="8:8" ht="15.75" customHeight="1" x14ac:dyDescent="0.2">
      <c r="H121" s="161"/>
    </row>
    <row r="122" spans="8:8" ht="15.75" customHeight="1" x14ac:dyDescent="0.2">
      <c r="H122" s="161"/>
    </row>
    <row r="123" spans="8:8" ht="15.75" customHeight="1" x14ac:dyDescent="0.2">
      <c r="H123" s="161"/>
    </row>
    <row r="124" spans="8:8" ht="15.75" customHeight="1" x14ac:dyDescent="0.2">
      <c r="H124" s="161"/>
    </row>
    <row r="125" spans="8:8" ht="15.75" customHeight="1" x14ac:dyDescent="0.2">
      <c r="H125" s="161"/>
    </row>
    <row r="126" spans="8:8" ht="15.75" customHeight="1" x14ac:dyDescent="0.2">
      <c r="H126" s="161"/>
    </row>
    <row r="127" spans="8:8" ht="15.75" customHeight="1" x14ac:dyDescent="0.2">
      <c r="H127" s="161"/>
    </row>
    <row r="128" spans="8:8" ht="15.75" customHeight="1" x14ac:dyDescent="0.2">
      <c r="H128" s="161"/>
    </row>
    <row r="129" spans="8:8" ht="15.75" customHeight="1" x14ac:dyDescent="0.2">
      <c r="H129" s="161"/>
    </row>
    <row r="130" spans="8:8" ht="15.75" customHeight="1" x14ac:dyDescent="0.2">
      <c r="H130" s="161"/>
    </row>
    <row r="131" spans="8:8" ht="15.75" customHeight="1" x14ac:dyDescent="0.2">
      <c r="H131" s="161"/>
    </row>
    <row r="132" spans="8:8" ht="15.75" customHeight="1" x14ac:dyDescent="0.2">
      <c r="H132" s="161"/>
    </row>
    <row r="133" spans="8:8" ht="15.75" customHeight="1" x14ac:dyDescent="0.2">
      <c r="H133" s="161"/>
    </row>
    <row r="134" spans="8:8" ht="15.75" customHeight="1" x14ac:dyDescent="0.2">
      <c r="H134" s="161"/>
    </row>
    <row r="135" spans="8:8" ht="15.75" customHeight="1" x14ac:dyDescent="0.2">
      <c r="H135" s="161"/>
    </row>
    <row r="136" spans="8:8" ht="15.75" customHeight="1" x14ac:dyDescent="0.2">
      <c r="H136" s="161"/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D2D-DCBC-424C-93AA-BECB4E89938C}">
  <sheetPr codeName="Sheet6"/>
  <dimension ref="L36:M37"/>
  <sheetViews>
    <sheetView zoomScale="90" zoomScaleNormal="90" workbookViewId="0">
      <selection activeCell="R15" sqref="R15"/>
    </sheetView>
  </sheetViews>
  <sheetFormatPr defaultRowHeight="12.75" x14ac:dyDescent="0.2"/>
  <sheetData>
    <row r="36" spans="12:13" x14ac:dyDescent="0.2">
      <c r="L36">
        <v>0</v>
      </c>
      <c r="M36">
        <v>0.4</v>
      </c>
    </row>
    <row r="37" spans="12:13" x14ac:dyDescent="0.2">
      <c r="L37">
        <v>300</v>
      </c>
      <c r="M37">
        <v>0.4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AC732-FAA7-4EA4-9A11-F84FF9ACEA8E}">
  <sheetPr codeName="Sheet10"/>
  <dimension ref="A1:AT62"/>
  <sheetViews>
    <sheetView zoomScale="80" zoomScaleNormal="80" workbookViewId="0">
      <pane xSplit="7" ySplit="1" topLeftCell="M2" activePane="bottomRight" state="frozen"/>
      <selection pane="topRight" activeCell="H1" sqref="H1"/>
      <selection pane="bottomLeft" activeCell="A3" sqref="A3"/>
      <selection pane="bottomRight" activeCell="F36" sqref="F36"/>
    </sheetView>
  </sheetViews>
  <sheetFormatPr defaultColWidth="12.85546875" defaultRowHeight="12.75" x14ac:dyDescent="0.2"/>
  <cols>
    <col min="1" max="1" width="15.42578125" style="32" customWidth="1"/>
    <col min="2" max="2" width="12.85546875" style="32" customWidth="1"/>
    <col min="3" max="3" width="17.28515625" style="32" customWidth="1"/>
    <col min="4" max="17" width="12.85546875" style="32" customWidth="1"/>
    <col min="18" max="19" width="12.85546875" style="30" customWidth="1"/>
    <col min="20" max="22" width="12.85546875" style="28" customWidth="1"/>
    <col min="23" max="23" width="12.85546875" style="30" customWidth="1"/>
    <col min="24" max="33" width="12.85546875" style="32" customWidth="1"/>
    <col min="34" max="46" width="12.85546875" style="30" customWidth="1"/>
    <col min="47" max="16384" width="12.85546875" style="3"/>
  </cols>
  <sheetData>
    <row r="1" spans="1:46" s="7" customFormat="1" ht="16.5" customHeight="1" x14ac:dyDescent="0.2">
      <c r="A1" s="31" t="s">
        <v>722</v>
      </c>
      <c r="B1" s="31" t="s">
        <v>675</v>
      </c>
      <c r="C1" s="31" t="s">
        <v>723</v>
      </c>
      <c r="D1" s="31" t="s">
        <v>724</v>
      </c>
      <c r="E1" s="31" t="s">
        <v>725</v>
      </c>
      <c r="F1" s="31" t="s">
        <v>726</v>
      </c>
      <c r="G1" s="31" t="s">
        <v>642</v>
      </c>
      <c r="H1" s="31" t="s">
        <v>727</v>
      </c>
      <c r="I1" s="31" t="s">
        <v>762</v>
      </c>
      <c r="J1" s="31" t="s">
        <v>817</v>
      </c>
      <c r="K1" s="31" t="s">
        <v>818</v>
      </c>
      <c r="L1" s="31" t="s">
        <v>819</v>
      </c>
      <c r="M1" s="31" t="s">
        <v>819</v>
      </c>
      <c r="N1" s="31" t="s">
        <v>728</v>
      </c>
      <c r="O1" s="31" t="s">
        <v>729</v>
      </c>
      <c r="P1" s="31" t="s">
        <v>730</v>
      </c>
      <c r="Q1" s="31" t="s">
        <v>731</v>
      </c>
      <c r="R1" s="29" t="s">
        <v>758</v>
      </c>
      <c r="S1" s="29" t="s">
        <v>820</v>
      </c>
      <c r="T1" s="27" t="s">
        <v>821</v>
      </c>
      <c r="U1" s="27" t="s">
        <v>732</v>
      </c>
      <c r="V1" s="81" t="s">
        <v>733</v>
      </c>
      <c r="W1" s="29" t="s">
        <v>734</v>
      </c>
      <c r="X1" s="31" t="s">
        <v>735</v>
      </c>
      <c r="Y1" s="31" t="s">
        <v>736</v>
      </c>
      <c r="Z1" s="31" t="s">
        <v>737</v>
      </c>
      <c r="AA1" s="31" t="s">
        <v>738</v>
      </c>
      <c r="AB1" s="31" t="s">
        <v>739</v>
      </c>
      <c r="AC1" s="31" t="s">
        <v>740</v>
      </c>
      <c r="AD1" s="31" t="s">
        <v>741</v>
      </c>
      <c r="AE1" s="31" t="s">
        <v>742</v>
      </c>
      <c r="AF1" s="31" t="s">
        <v>743</v>
      </c>
      <c r="AG1" s="31" t="s">
        <v>744</v>
      </c>
      <c r="AH1" s="29" t="s">
        <v>760</v>
      </c>
      <c r="AI1" s="29" t="s">
        <v>745</v>
      </c>
      <c r="AJ1" s="29" t="s">
        <v>746</v>
      </c>
      <c r="AK1" s="29" t="s">
        <v>747</v>
      </c>
      <c r="AL1" s="29" t="s">
        <v>102</v>
      </c>
      <c r="AM1" s="29" t="s">
        <v>748</v>
      </c>
      <c r="AN1" s="29" t="s">
        <v>749</v>
      </c>
      <c r="AO1" s="29" t="s">
        <v>750</v>
      </c>
      <c r="AP1" s="29" t="s">
        <v>751</v>
      </c>
      <c r="AQ1" s="29" t="s">
        <v>752</v>
      </c>
      <c r="AR1" s="29" t="s">
        <v>753</v>
      </c>
      <c r="AS1" s="29" t="s">
        <v>754</v>
      </c>
      <c r="AT1" s="29" t="s">
        <v>755</v>
      </c>
    </row>
    <row r="2" spans="1:46" s="76" customFormat="1" x14ac:dyDescent="0.2">
      <c r="A2" s="79" t="s">
        <v>776</v>
      </c>
      <c r="B2" s="79" t="s">
        <v>103</v>
      </c>
      <c r="C2" s="79" t="s">
        <v>775</v>
      </c>
      <c r="D2" s="79" t="s">
        <v>692</v>
      </c>
      <c r="E2" s="79" t="s">
        <v>828</v>
      </c>
      <c r="F2" s="79">
        <v>2005</v>
      </c>
      <c r="G2" s="79">
        <v>175</v>
      </c>
      <c r="H2" s="79">
        <v>5</v>
      </c>
      <c r="I2" s="79">
        <v>16</v>
      </c>
      <c r="J2" s="79">
        <v>21</v>
      </c>
      <c r="K2" s="79">
        <v>43</v>
      </c>
      <c r="L2" s="79">
        <v>46</v>
      </c>
      <c r="M2" s="76">
        <v>46</v>
      </c>
      <c r="N2" s="79">
        <v>54</v>
      </c>
      <c r="O2" s="79">
        <v>90</v>
      </c>
      <c r="P2" s="79">
        <v>93</v>
      </c>
      <c r="Q2" s="79">
        <v>99</v>
      </c>
      <c r="R2" s="80">
        <v>23.302056555269928</v>
      </c>
      <c r="S2" s="80">
        <v>5.0182144704204292</v>
      </c>
      <c r="T2" s="72">
        <v>782.56473823220972</v>
      </c>
      <c r="U2" s="72">
        <v>1157.4600794028725</v>
      </c>
      <c r="V2" s="72">
        <v>415.46917164093549</v>
      </c>
      <c r="W2" s="80">
        <v>0.35894902592734224</v>
      </c>
      <c r="X2" s="79">
        <v>138.45000000000005</v>
      </c>
      <c r="Y2" s="79">
        <v>56.7</v>
      </c>
      <c r="Z2" s="79">
        <v>0</v>
      </c>
      <c r="AA2" s="79">
        <v>0</v>
      </c>
      <c r="AB2" s="79">
        <v>19.188524279059557</v>
      </c>
      <c r="AC2" s="79">
        <v>0.42977479325081713</v>
      </c>
      <c r="AD2" s="79">
        <v>33.998619527328493</v>
      </c>
      <c r="AE2" s="79">
        <v>137.69503000184963</v>
      </c>
      <c r="AF2" s="79">
        <v>0</v>
      </c>
      <c r="AG2" s="79">
        <v>171.69364952917812</v>
      </c>
      <c r="AH2" s="80">
        <v>0.19801907432435306</v>
      </c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</row>
    <row r="3" spans="1:46" s="76" customFormat="1" x14ac:dyDescent="0.2">
      <c r="A3" s="79" t="s">
        <v>776</v>
      </c>
      <c r="B3" s="79" t="s">
        <v>103</v>
      </c>
      <c r="C3" s="79" t="s">
        <v>775</v>
      </c>
      <c r="D3" s="79" t="s">
        <v>692</v>
      </c>
      <c r="E3" s="79" t="s">
        <v>828</v>
      </c>
      <c r="F3" s="79">
        <v>2006</v>
      </c>
      <c r="G3" s="79">
        <v>175</v>
      </c>
      <c r="H3" s="79">
        <v>4</v>
      </c>
      <c r="I3" s="79">
        <v>16</v>
      </c>
      <c r="J3" s="79">
        <v>21</v>
      </c>
      <c r="K3" s="79">
        <v>44</v>
      </c>
      <c r="L3" s="79">
        <v>47</v>
      </c>
      <c r="M3" s="76">
        <v>47</v>
      </c>
      <c r="N3" s="79">
        <v>55</v>
      </c>
      <c r="O3" s="79">
        <v>88</v>
      </c>
      <c r="P3" s="79">
        <v>91</v>
      </c>
      <c r="Q3" s="79">
        <v>97</v>
      </c>
      <c r="R3" s="80">
        <v>23.778920308483286</v>
      </c>
      <c r="S3" s="80">
        <v>6.4714620546134842</v>
      </c>
      <c r="T3" s="72">
        <v>795.23529394125399</v>
      </c>
      <c r="U3" s="72">
        <v>960.56647152582877</v>
      </c>
      <c r="V3" s="72">
        <v>244.07796344554544</v>
      </c>
      <c r="W3" s="80">
        <v>0.25409793922627355</v>
      </c>
      <c r="X3" s="79">
        <v>138.45000000000005</v>
      </c>
      <c r="Y3" s="79">
        <v>17.799999999999997</v>
      </c>
      <c r="Z3" s="79">
        <v>0</v>
      </c>
      <c r="AA3" s="79">
        <v>0</v>
      </c>
      <c r="AB3" s="79">
        <v>1.5408586808267728</v>
      </c>
      <c r="AC3" s="79">
        <v>0</v>
      </c>
      <c r="AD3" s="79">
        <v>29.417036660205589</v>
      </c>
      <c r="AE3" s="79">
        <v>122.66111137550166</v>
      </c>
      <c r="AF3" s="79">
        <v>0</v>
      </c>
      <c r="AG3" s="79">
        <v>152.07814803570724</v>
      </c>
      <c r="AH3" s="80">
        <v>0.19343367279145113</v>
      </c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</row>
    <row r="4" spans="1:46" s="76" customFormat="1" x14ac:dyDescent="0.2">
      <c r="A4" s="79" t="s">
        <v>776</v>
      </c>
      <c r="B4" s="79" t="s">
        <v>103</v>
      </c>
      <c r="C4" s="79" t="s">
        <v>775</v>
      </c>
      <c r="D4" s="79" t="s">
        <v>692</v>
      </c>
      <c r="E4" s="79" t="s">
        <v>828</v>
      </c>
      <c r="F4" s="79">
        <v>2007</v>
      </c>
      <c r="G4" s="79">
        <v>175</v>
      </c>
      <c r="H4" s="79">
        <v>5</v>
      </c>
      <c r="I4" s="79">
        <v>16</v>
      </c>
      <c r="J4" s="79">
        <v>22</v>
      </c>
      <c r="K4" s="79">
        <v>45</v>
      </c>
      <c r="L4" s="79">
        <v>48</v>
      </c>
      <c r="M4" s="76">
        <v>48</v>
      </c>
      <c r="N4" s="79">
        <v>56</v>
      </c>
      <c r="O4" s="79">
        <v>89</v>
      </c>
      <c r="P4" s="79">
        <v>92</v>
      </c>
      <c r="Q4" s="79">
        <v>98</v>
      </c>
      <c r="R4" s="80">
        <v>23.336760925449873</v>
      </c>
      <c r="S4" s="80">
        <v>4.3345336385468674</v>
      </c>
      <c r="T4" s="72">
        <v>710.0355987032234</v>
      </c>
      <c r="U4" s="72">
        <v>874.02072621061006</v>
      </c>
      <c r="V4" s="72">
        <v>267.79582231889265</v>
      </c>
      <c r="W4" s="80">
        <v>0.30639527327457222</v>
      </c>
      <c r="X4" s="79">
        <v>138.45000000000005</v>
      </c>
      <c r="Y4" s="79">
        <v>79.599999999999994</v>
      </c>
      <c r="Z4" s="79">
        <v>0</v>
      </c>
      <c r="AA4" s="79">
        <v>0</v>
      </c>
      <c r="AB4" s="79">
        <v>37.021149648335054</v>
      </c>
      <c r="AC4" s="79">
        <v>13.884585077987047</v>
      </c>
      <c r="AD4" s="79">
        <v>35.154648276756632</v>
      </c>
      <c r="AE4" s="79">
        <v>127.27898109438073</v>
      </c>
      <c r="AF4" s="79">
        <v>0</v>
      </c>
      <c r="AG4" s="79">
        <v>162.43362937113736</v>
      </c>
      <c r="AH4" s="80">
        <v>0.21642467910500576</v>
      </c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</row>
    <row r="5" spans="1:46" s="76" customFormat="1" x14ac:dyDescent="0.2">
      <c r="A5" s="79" t="s">
        <v>778</v>
      </c>
      <c r="B5" s="79" t="s">
        <v>103</v>
      </c>
      <c r="C5" s="79" t="s">
        <v>777</v>
      </c>
      <c r="D5" s="79" t="s">
        <v>692</v>
      </c>
      <c r="E5" s="79" t="s">
        <v>828</v>
      </c>
      <c r="F5" s="79">
        <v>2005</v>
      </c>
      <c r="G5" s="79">
        <v>175</v>
      </c>
      <c r="H5" s="79">
        <v>5</v>
      </c>
      <c r="I5" s="79">
        <v>16</v>
      </c>
      <c r="J5" s="79">
        <v>21</v>
      </c>
      <c r="K5" s="79">
        <v>43</v>
      </c>
      <c r="L5" s="79">
        <v>46</v>
      </c>
      <c r="M5" s="76">
        <v>46</v>
      </c>
      <c r="N5" s="79">
        <v>54</v>
      </c>
      <c r="O5" s="79">
        <v>90</v>
      </c>
      <c r="P5" s="79">
        <v>93</v>
      </c>
      <c r="Q5" s="79">
        <v>99</v>
      </c>
      <c r="R5" s="80">
        <v>23.302056555269928</v>
      </c>
      <c r="S5" s="80">
        <v>6.8653909722474662</v>
      </c>
      <c r="T5" s="72">
        <v>892.13676637614606</v>
      </c>
      <c r="U5" s="72">
        <v>2413.7242248005741</v>
      </c>
      <c r="V5" s="72">
        <v>1202.1050765154546</v>
      </c>
      <c r="W5" s="80">
        <v>0.49802916968879601</v>
      </c>
      <c r="X5" s="79">
        <v>138.45000000000005</v>
      </c>
      <c r="Y5" s="79">
        <v>56.7</v>
      </c>
      <c r="Z5" s="79">
        <v>387.04426184138919</v>
      </c>
      <c r="AA5" s="79">
        <v>5</v>
      </c>
      <c r="AB5" s="79">
        <v>144.58477895810972</v>
      </c>
      <c r="AC5" s="79">
        <v>0</v>
      </c>
      <c r="AD5" s="79">
        <v>65.810125307173564</v>
      </c>
      <c r="AE5" s="79">
        <v>280.72038667275757</v>
      </c>
      <c r="AF5" s="79">
        <v>87.702197136061216</v>
      </c>
      <c r="AG5" s="79">
        <v>346.53051197993113</v>
      </c>
      <c r="AH5" s="80">
        <v>0.1899114829226641</v>
      </c>
      <c r="AI5" s="80">
        <v>4.6388032244457822</v>
      </c>
      <c r="AJ5" s="80">
        <v>3.9965661525710088</v>
      </c>
      <c r="AK5" s="80">
        <v>8.6353693770167901</v>
      </c>
      <c r="AL5" s="80">
        <v>13.223155841669998</v>
      </c>
      <c r="AM5" s="80">
        <v>21.858525218686783</v>
      </c>
      <c r="AN5" s="80">
        <v>5.6478333333333328</v>
      </c>
      <c r="AO5" s="80">
        <v>19.5</v>
      </c>
      <c r="AP5" s="80">
        <v>11.294801318710682</v>
      </c>
      <c r="AQ5" s="80">
        <v>4.2755839798525708</v>
      </c>
      <c r="AR5" s="80">
        <v>1.8729999999999998</v>
      </c>
      <c r="AS5" s="80">
        <v>0.65364056127329218</v>
      </c>
      <c r="AT5" s="80">
        <v>7.7872126651766687</v>
      </c>
    </row>
    <row r="6" spans="1:46" s="76" customFormat="1" x14ac:dyDescent="0.2">
      <c r="A6" s="79" t="s">
        <v>778</v>
      </c>
      <c r="B6" s="79" t="s">
        <v>103</v>
      </c>
      <c r="C6" s="79" t="s">
        <v>777</v>
      </c>
      <c r="D6" s="79" t="s">
        <v>692</v>
      </c>
      <c r="E6" s="79" t="s">
        <v>828</v>
      </c>
      <c r="F6" s="79">
        <v>2006</v>
      </c>
      <c r="G6" s="79">
        <v>175</v>
      </c>
      <c r="H6" s="79">
        <v>4</v>
      </c>
      <c r="I6" s="79">
        <v>16</v>
      </c>
      <c r="J6" s="79">
        <v>21</v>
      </c>
      <c r="K6" s="79">
        <v>44</v>
      </c>
      <c r="L6" s="79">
        <v>47</v>
      </c>
      <c r="M6" s="76">
        <v>47</v>
      </c>
      <c r="N6" s="79">
        <v>55</v>
      </c>
      <c r="O6" s="79">
        <v>88</v>
      </c>
      <c r="P6" s="79">
        <v>91</v>
      </c>
      <c r="Q6" s="79">
        <v>97</v>
      </c>
      <c r="R6" s="80">
        <v>23.778920308483286</v>
      </c>
      <c r="S6" s="80">
        <v>7.3272529532261617</v>
      </c>
      <c r="T6" s="72">
        <v>843.80393905684218</v>
      </c>
      <c r="U6" s="72">
        <v>2585.1896100123568</v>
      </c>
      <c r="V6" s="72">
        <v>1279.6688569561163</v>
      </c>
      <c r="W6" s="80">
        <v>0.4949999980852467</v>
      </c>
      <c r="X6" s="79">
        <v>138.45000000000005</v>
      </c>
      <c r="Y6" s="79">
        <v>17.799999999999997</v>
      </c>
      <c r="Z6" s="79">
        <v>362.54087781147905</v>
      </c>
      <c r="AA6" s="79">
        <v>6</v>
      </c>
      <c r="AB6" s="79">
        <v>112.79627945559551</v>
      </c>
      <c r="AC6" s="79">
        <v>0</v>
      </c>
      <c r="AD6" s="79">
        <v>49.593443155192119</v>
      </c>
      <c r="AE6" s="79">
        <v>353.97893045444209</v>
      </c>
      <c r="AF6" s="79">
        <v>0</v>
      </c>
      <c r="AG6" s="79">
        <v>403.57237360963421</v>
      </c>
      <c r="AH6" s="80">
        <v>0.12288611701231435</v>
      </c>
      <c r="AI6" s="80">
        <v>6.610776812927762</v>
      </c>
      <c r="AJ6" s="80">
        <v>6.176226216536608</v>
      </c>
      <c r="AK6" s="80">
        <v>12.787003029464369</v>
      </c>
      <c r="AL6" s="80">
        <v>14.076357426517285</v>
      </c>
      <c r="AM6" s="80">
        <v>26.863360455981649</v>
      </c>
      <c r="AN6" s="80">
        <v>5.6478333333333328</v>
      </c>
      <c r="AO6" s="80">
        <v>19.5</v>
      </c>
      <c r="AP6" s="80">
        <v>13.841561052065893</v>
      </c>
      <c r="AQ6" s="80">
        <v>3.7095319267527715</v>
      </c>
      <c r="AR6" s="80">
        <v>1.8729999999999998</v>
      </c>
      <c r="AS6" s="80">
        <v>0</v>
      </c>
      <c r="AT6" s="80">
        <v>6.548822356402896</v>
      </c>
    </row>
    <row r="7" spans="1:46" s="76" customFormat="1" x14ac:dyDescent="0.2">
      <c r="A7" s="79" t="s">
        <v>778</v>
      </c>
      <c r="B7" s="79" t="s">
        <v>103</v>
      </c>
      <c r="C7" s="79" t="s">
        <v>777</v>
      </c>
      <c r="D7" s="79" t="s">
        <v>692</v>
      </c>
      <c r="E7" s="79" t="s">
        <v>828</v>
      </c>
      <c r="F7" s="79">
        <v>2007</v>
      </c>
      <c r="G7" s="79">
        <v>175</v>
      </c>
      <c r="H7" s="79">
        <v>5</v>
      </c>
      <c r="I7" s="79">
        <v>16</v>
      </c>
      <c r="J7" s="79">
        <v>22</v>
      </c>
      <c r="K7" s="79">
        <v>45</v>
      </c>
      <c r="L7" s="79">
        <v>48</v>
      </c>
      <c r="M7" s="79">
        <v>48</v>
      </c>
      <c r="N7" s="79">
        <v>56</v>
      </c>
      <c r="O7" s="79">
        <v>89</v>
      </c>
      <c r="P7" s="79">
        <v>92</v>
      </c>
      <c r="Q7" s="79">
        <v>98</v>
      </c>
      <c r="R7" s="80">
        <v>23.336760925449873</v>
      </c>
      <c r="S7" s="80">
        <v>6.9026576900461079</v>
      </c>
      <c r="T7" s="72">
        <v>958.65008873733393</v>
      </c>
      <c r="U7" s="72">
        <v>2656.0651794782825</v>
      </c>
      <c r="V7" s="72">
        <v>1314.7522638417499</v>
      </c>
      <c r="W7" s="80">
        <v>0.49499999813634094</v>
      </c>
      <c r="X7" s="79">
        <v>138.45000000000005</v>
      </c>
      <c r="Y7" s="79">
        <v>79.599999999999994</v>
      </c>
      <c r="Z7" s="79">
        <v>359.0488731712046</v>
      </c>
      <c r="AA7" s="79">
        <v>6</v>
      </c>
      <c r="AB7" s="79">
        <v>116.68328432303157</v>
      </c>
      <c r="AC7" s="79">
        <v>0</v>
      </c>
      <c r="AD7" s="79">
        <v>75.942976258554225</v>
      </c>
      <c r="AE7" s="79">
        <v>380.72693923585217</v>
      </c>
      <c r="AF7" s="79">
        <v>0</v>
      </c>
      <c r="AG7" s="79">
        <v>456.66991549440638</v>
      </c>
      <c r="AH7" s="80">
        <v>0.16629730144006261</v>
      </c>
      <c r="AI7" s="80">
        <v>6.1987785475978754</v>
      </c>
      <c r="AJ7" s="80">
        <v>5.6823025111661352</v>
      </c>
      <c r="AK7" s="80">
        <v>11.881081058764011</v>
      </c>
      <c r="AL7" s="80">
        <v>14.462274902259248</v>
      </c>
      <c r="AM7" s="80">
        <v>26.343355961023246</v>
      </c>
      <c r="AN7" s="80">
        <v>5.6478333333333328</v>
      </c>
      <c r="AO7" s="80">
        <v>19.5</v>
      </c>
      <c r="AP7" s="80">
        <v>13.610085759245555</v>
      </c>
      <c r="AQ7" s="80">
        <v>4.5915976680509836</v>
      </c>
      <c r="AR7" s="80">
        <v>1.8729999999999998</v>
      </c>
      <c r="AS7" s="80">
        <v>0</v>
      </c>
      <c r="AT7" s="80">
        <v>5.9552847334068977</v>
      </c>
    </row>
    <row r="8" spans="1:46" s="76" customFormat="1" x14ac:dyDescent="0.2">
      <c r="A8" s="79" t="s">
        <v>780</v>
      </c>
      <c r="B8" s="79" t="s">
        <v>763</v>
      </c>
      <c r="C8" s="79" t="s">
        <v>779</v>
      </c>
      <c r="D8" s="79" t="s">
        <v>692</v>
      </c>
      <c r="E8" s="79" t="s">
        <v>828</v>
      </c>
      <c r="F8" s="79">
        <v>1992</v>
      </c>
      <c r="G8" s="79">
        <v>130</v>
      </c>
      <c r="H8" s="79">
        <v>8</v>
      </c>
      <c r="I8" s="79">
        <v>24</v>
      </c>
      <c r="J8" s="79">
        <v>29</v>
      </c>
      <c r="K8" s="79">
        <v>53</v>
      </c>
      <c r="L8" s="79">
        <v>56</v>
      </c>
      <c r="M8" s="79">
        <v>56</v>
      </c>
      <c r="N8" s="79">
        <v>64</v>
      </c>
      <c r="O8" s="79">
        <v>95</v>
      </c>
      <c r="P8" s="79">
        <v>98</v>
      </c>
      <c r="Q8" s="79">
        <v>104</v>
      </c>
      <c r="R8" s="80">
        <v>21.814910025706947</v>
      </c>
      <c r="S8" s="80">
        <v>6.4874847620176093</v>
      </c>
      <c r="T8" s="72">
        <v>1130.1585183325406</v>
      </c>
      <c r="U8" s="72">
        <v>3190.5883030732175</v>
      </c>
      <c r="V8" s="72">
        <v>1483.6235609290461</v>
      </c>
      <c r="W8" s="80">
        <v>0.4649999985425885</v>
      </c>
      <c r="X8" s="79">
        <v>138.45000000000005</v>
      </c>
      <c r="Y8" s="79">
        <v>14</v>
      </c>
      <c r="Z8" s="79">
        <v>650.94429239483304</v>
      </c>
      <c r="AA8" s="79">
        <v>11</v>
      </c>
      <c r="AB8" s="79">
        <v>86.294417477316301</v>
      </c>
      <c r="AC8" s="79">
        <v>0</v>
      </c>
      <c r="AD8" s="79">
        <v>66.551852318292234</v>
      </c>
      <c r="AE8" s="79">
        <v>645.01799530132109</v>
      </c>
      <c r="AF8" s="79">
        <v>0</v>
      </c>
      <c r="AG8" s="79">
        <v>711.56984761961337</v>
      </c>
      <c r="AH8" s="80">
        <v>9.3528206128524791E-2</v>
      </c>
      <c r="AI8" s="80">
        <v>2.7029648727608944</v>
      </c>
      <c r="AJ8" s="80">
        <v>4.2639278795606161</v>
      </c>
      <c r="AK8" s="80">
        <v>6.9668927523215105</v>
      </c>
      <c r="AL8" s="80">
        <v>16.319859170219505</v>
      </c>
      <c r="AM8" s="80">
        <v>23.286751922541022</v>
      </c>
      <c r="AN8" s="80">
        <v>5.6478333333333328</v>
      </c>
      <c r="AO8" s="80">
        <v>19.5</v>
      </c>
      <c r="AP8" s="80">
        <v>10.989678690489677</v>
      </c>
      <c r="AQ8" s="80">
        <v>3.854995266667598</v>
      </c>
      <c r="AR8" s="80">
        <v>1.8729999999999998</v>
      </c>
      <c r="AS8" s="80">
        <v>0</v>
      </c>
      <c r="AT8" s="80">
        <v>7.1280940704126836</v>
      </c>
    </row>
    <row r="9" spans="1:46" s="76" customFormat="1" x14ac:dyDescent="0.2">
      <c r="A9" s="79" t="s">
        <v>780</v>
      </c>
      <c r="B9" s="79" t="s">
        <v>763</v>
      </c>
      <c r="C9" s="79" t="s">
        <v>779</v>
      </c>
      <c r="D9" s="79" t="s">
        <v>692</v>
      </c>
      <c r="E9" s="79" t="s">
        <v>828</v>
      </c>
      <c r="F9" s="79">
        <v>1993</v>
      </c>
      <c r="G9" s="79">
        <v>130</v>
      </c>
      <c r="H9" s="79">
        <v>7</v>
      </c>
      <c r="I9" s="79">
        <v>21</v>
      </c>
      <c r="J9" s="79">
        <v>27</v>
      </c>
      <c r="K9" s="79">
        <v>50</v>
      </c>
      <c r="L9" s="79">
        <v>54</v>
      </c>
      <c r="M9" s="79">
        <v>54</v>
      </c>
      <c r="N9" s="79">
        <v>62</v>
      </c>
      <c r="O9" s="79">
        <v>95</v>
      </c>
      <c r="P9" s="79">
        <v>97</v>
      </c>
      <c r="Q9" s="79">
        <v>102</v>
      </c>
      <c r="R9" s="80">
        <v>22.458868894601547</v>
      </c>
      <c r="S9" s="80">
        <v>7.1269059078853738</v>
      </c>
      <c r="T9" s="72">
        <v>1210.9931370499419</v>
      </c>
      <c r="U9" s="72">
        <v>3346.2186611870852</v>
      </c>
      <c r="V9" s="72">
        <v>1656.3782372876071</v>
      </c>
      <c r="W9" s="80">
        <v>0.49499999852071824</v>
      </c>
      <c r="X9" s="79">
        <v>138.45000000000005</v>
      </c>
      <c r="Y9" s="79">
        <v>3.3</v>
      </c>
      <c r="Z9" s="79">
        <v>701.79207098642962</v>
      </c>
      <c r="AA9" s="79">
        <v>11</v>
      </c>
      <c r="AB9" s="79">
        <v>137.82596856843281</v>
      </c>
      <c r="AC9" s="79">
        <v>0</v>
      </c>
      <c r="AD9" s="79">
        <v>65.83516660542044</v>
      </c>
      <c r="AE9" s="79">
        <v>633.29537272767425</v>
      </c>
      <c r="AF9" s="79">
        <v>0</v>
      </c>
      <c r="AG9" s="79">
        <v>699.1305393330947</v>
      </c>
      <c r="AH9" s="80">
        <v>9.4167200486691721E-2</v>
      </c>
      <c r="AI9" s="80">
        <v>2.4762360920804274</v>
      </c>
      <c r="AJ9" s="80">
        <v>3.682538983665431</v>
      </c>
      <c r="AK9" s="80">
        <v>6.1587750757458579</v>
      </c>
      <c r="AL9" s="80">
        <v>18.220160610163678</v>
      </c>
      <c r="AM9" s="80">
        <v>24.378935685909543</v>
      </c>
      <c r="AN9" s="80">
        <v>5.6478333333333328</v>
      </c>
      <c r="AO9" s="80">
        <v>19.5</v>
      </c>
      <c r="AP9" s="80">
        <v>10.720942866199037</v>
      </c>
      <c r="AQ9" s="80">
        <v>3.5070295521252524</v>
      </c>
      <c r="AR9" s="80">
        <v>1.8729999999999998</v>
      </c>
      <c r="AS9" s="80">
        <v>0</v>
      </c>
      <c r="AT9" s="80">
        <v>6.115141308635585</v>
      </c>
    </row>
    <row r="10" spans="1:46" s="76" customFormat="1" x14ac:dyDescent="0.2">
      <c r="A10" s="79" t="s">
        <v>780</v>
      </c>
      <c r="B10" s="79" t="s">
        <v>763</v>
      </c>
      <c r="C10" s="79" t="s">
        <v>779</v>
      </c>
      <c r="D10" s="79" t="s">
        <v>692</v>
      </c>
      <c r="E10" s="79" t="s">
        <v>828</v>
      </c>
      <c r="F10" s="79">
        <v>1994</v>
      </c>
      <c r="G10" s="79">
        <v>130</v>
      </c>
      <c r="H10" s="79">
        <v>5</v>
      </c>
      <c r="I10" s="79">
        <v>22</v>
      </c>
      <c r="J10" s="79">
        <v>27</v>
      </c>
      <c r="K10" s="79">
        <v>52</v>
      </c>
      <c r="L10" s="79">
        <v>56</v>
      </c>
      <c r="M10" s="79">
        <v>56</v>
      </c>
      <c r="N10" s="79">
        <v>64</v>
      </c>
      <c r="O10" s="79">
        <v>94</v>
      </c>
      <c r="P10" s="79">
        <v>96</v>
      </c>
      <c r="Q10" s="79">
        <v>101</v>
      </c>
      <c r="R10" s="80">
        <v>23.100257069408741</v>
      </c>
      <c r="S10" s="80">
        <v>7.741271659729656</v>
      </c>
      <c r="T10" s="72">
        <v>1413.9156073838087</v>
      </c>
      <c r="U10" s="72">
        <v>3375.499124643085</v>
      </c>
      <c r="V10" s="72">
        <v>1518.9746060893881</v>
      </c>
      <c r="W10" s="80">
        <v>0.44999999866686374</v>
      </c>
      <c r="X10" s="79">
        <v>138.45000000000005</v>
      </c>
      <c r="Y10" s="79">
        <v>9.4</v>
      </c>
      <c r="Z10" s="79">
        <v>793.83807319409323</v>
      </c>
      <c r="AA10" s="79">
        <v>13</v>
      </c>
      <c r="AB10" s="79">
        <v>101.02513997988258</v>
      </c>
      <c r="AC10" s="79">
        <v>0</v>
      </c>
      <c r="AD10" s="79">
        <v>81.831726543897219</v>
      </c>
      <c r="AE10" s="79">
        <v>750.76215720250241</v>
      </c>
      <c r="AF10" s="79">
        <v>0</v>
      </c>
      <c r="AG10" s="79">
        <v>832.59388374639957</v>
      </c>
      <c r="AH10" s="80">
        <v>9.8285283087630251E-2</v>
      </c>
      <c r="AI10" s="80">
        <v>2.396176607184632</v>
      </c>
      <c r="AJ10" s="80">
        <v>4.379157574436995</v>
      </c>
      <c r="AK10" s="80">
        <v>6.775334181621627</v>
      </c>
      <c r="AL10" s="80">
        <v>16.708720666983265</v>
      </c>
      <c r="AM10" s="80">
        <v>23.484054848604906</v>
      </c>
      <c r="AN10" s="80">
        <v>5.6478333333333328</v>
      </c>
      <c r="AO10" s="80">
        <v>19.5</v>
      </c>
      <c r="AP10" s="80">
        <v>10.98393662379114</v>
      </c>
      <c r="AQ10" s="80">
        <v>4.2505945213544623</v>
      </c>
      <c r="AR10" s="80">
        <v>1.8729999999999998</v>
      </c>
      <c r="AS10" s="80">
        <v>0</v>
      </c>
      <c r="AT10" s="80">
        <v>6.5294511290960386</v>
      </c>
    </row>
    <row r="11" spans="1:46" s="76" customFormat="1" x14ac:dyDescent="0.2">
      <c r="A11" s="79" t="s">
        <v>771</v>
      </c>
      <c r="B11" s="79" t="s">
        <v>768</v>
      </c>
      <c r="C11" s="79" t="s">
        <v>769</v>
      </c>
      <c r="D11" s="79" t="s">
        <v>692</v>
      </c>
      <c r="E11" s="79" t="s">
        <v>828</v>
      </c>
      <c r="F11" s="79">
        <v>1990</v>
      </c>
      <c r="G11" s="79">
        <v>312</v>
      </c>
      <c r="H11" s="79">
        <v>6</v>
      </c>
      <c r="I11" s="79">
        <v>20</v>
      </c>
      <c r="J11" s="79">
        <v>24</v>
      </c>
      <c r="K11" s="79">
        <v>57</v>
      </c>
      <c r="L11" s="79">
        <v>63</v>
      </c>
      <c r="M11" s="79">
        <v>63</v>
      </c>
      <c r="N11" s="79">
        <v>74</v>
      </c>
      <c r="O11" s="79">
        <v>115</v>
      </c>
      <c r="P11" s="79">
        <v>117</v>
      </c>
      <c r="Q11" s="79">
        <v>123</v>
      </c>
      <c r="R11" s="80">
        <v>21.154241645244223</v>
      </c>
      <c r="S11" s="80">
        <v>6.0891714023933172</v>
      </c>
      <c r="T11" s="72">
        <v>637.53969429845813</v>
      </c>
      <c r="U11" s="72">
        <v>1019.4048855547658</v>
      </c>
      <c r="V11" s="72">
        <v>328.90055118780384</v>
      </c>
      <c r="W11" s="80">
        <v>0.32263976033665637</v>
      </c>
      <c r="X11" s="79">
        <v>138.45000000000005</v>
      </c>
      <c r="Y11" s="79">
        <v>26.3</v>
      </c>
      <c r="Z11" s="79">
        <v>0</v>
      </c>
      <c r="AA11" s="79">
        <v>0</v>
      </c>
      <c r="AB11" s="79">
        <v>0.14142565000198104</v>
      </c>
      <c r="AC11" s="79">
        <v>0.44825904134038719</v>
      </c>
      <c r="AD11" s="79">
        <v>40.148030058604974</v>
      </c>
      <c r="AE11" s="79">
        <v>125.04013695282207</v>
      </c>
      <c r="AF11" s="79">
        <v>0</v>
      </c>
      <c r="AG11" s="79">
        <v>165.18816701142703</v>
      </c>
      <c r="AH11" s="80">
        <v>0.24304421045719091</v>
      </c>
      <c r="AI11" s="80">
        <v>6.8989986529580287</v>
      </c>
      <c r="AJ11" s="80">
        <v>4.5093904737696668</v>
      </c>
      <c r="AK11" s="80">
        <v>11.408389126727695</v>
      </c>
      <c r="AL11" s="80">
        <v>3.6179060630658419</v>
      </c>
      <c r="AM11" s="80">
        <v>15.02629518979353</v>
      </c>
      <c r="AN11" s="80">
        <v>5.6478333333333328</v>
      </c>
      <c r="AO11" s="80">
        <v>5.6</v>
      </c>
      <c r="AP11" s="80">
        <v>7.1054256950684804</v>
      </c>
      <c r="AQ11" s="80">
        <v>2.8423098203431651</v>
      </c>
      <c r="AR11" s="80">
        <v>0.49</v>
      </c>
      <c r="AS11" s="80">
        <v>0</v>
      </c>
      <c r="AT11" s="80">
        <v>0</v>
      </c>
    </row>
    <row r="12" spans="1:46" s="76" customFormat="1" x14ac:dyDescent="0.2">
      <c r="A12" s="79" t="s">
        <v>771</v>
      </c>
      <c r="B12" s="79" t="s">
        <v>768</v>
      </c>
      <c r="C12" s="79" t="s">
        <v>769</v>
      </c>
      <c r="D12" s="79" t="s">
        <v>692</v>
      </c>
      <c r="E12" s="79" t="s">
        <v>828</v>
      </c>
      <c r="F12" s="79">
        <v>1991</v>
      </c>
      <c r="G12" s="79">
        <v>312</v>
      </c>
      <c r="H12" s="79">
        <v>6</v>
      </c>
      <c r="I12" s="79">
        <v>22</v>
      </c>
      <c r="J12" s="79">
        <v>26</v>
      </c>
      <c r="K12" s="79">
        <v>61</v>
      </c>
      <c r="L12" s="79">
        <v>68</v>
      </c>
      <c r="M12" s="79">
        <v>68</v>
      </c>
      <c r="N12" s="79">
        <v>80</v>
      </c>
      <c r="O12" s="79">
        <v>124</v>
      </c>
      <c r="P12" s="79">
        <v>126</v>
      </c>
      <c r="Q12" s="79">
        <v>131</v>
      </c>
      <c r="R12" s="80">
        <v>20.835475578406168</v>
      </c>
      <c r="S12" s="80">
        <v>5.41395392585504</v>
      </c>
      <c r="T12" s="72">
        <v>649.60618033108506</v>
      </c>
      <c r="U12" s="72">
        <v>846.70115461505225</v>
      </c>
      <c r="V12" s="72">
        <v>235.32480369128376</v>
      </c>
      <c r="W12" s="80">
        <v>0.27793135704292177</v>
      </c>
      <c r="X12" s="79">
        <v>138.45000000000005</v>
      </c>
      <c r="Y12" s="79">
        <v>2</v>
      </c>
      <c r="Z12" s="79">
        <v>0</v>
      </c>
      <c r="AA12" s="79">
        <v>0</v>
      </c>
      <c r="AB12" s="79">
        <v>3.0254053474290998E-2</v>
      </c>
      <c r="AC12" s="79">
        <v>0</v>
      </c>
      <c r="AD12" s="79">
        <v>27.114812116122209</v>
      </c>
      <c r="AE12" s="79">
        <v>121.9143171215168</v>
      </c>
      <c r="AF12" s="79">
        <v>0</v>
      </c>
      <c r="AG12" s="79">
        <v>149.02912923763901</v>
      </c>
      <c r="AH12" s="80">
        <v>0.18194302305460847</v>
      </c>
      <c r="AI12" s="80">
        <v>5.5344127012103117</v>
      </c>
      <c r="AJ12" s="80">
        <v>1.9526841348305988</v>
      </c>
      <c r="AK12" s="80">
        <v>7.4870968360409105</v>
      </c>
      <c r="AL12" s="80">
        <v>2.5885728406041206</v>
      </c>
      <c r="AM12" s="80">
        <v>10.07566967664504</v>
      </c>
      <c r="AN12" s="80">
        <v>5.6478333333333328</v>
      </c>
      <c r="AO12" s="80">
        <v>5.6</v>
      </c>
      <c r="AP12" s="80">
        <v>6.9201452699075015</v>
      </c>
      <c r="AQ12" s="80">
        <v>7.6076659716247095</v>
      </c>
      <c r="AR12" s="80">
        <v>0.49</v>
      </c>
      <c r="AS12" s="80">
        <v>0</v>
      </c>
      <c r="AT12" s="80">
        <v>0</v>
      </c>
    </row>
    <row r="13" spans="1:46" s="76" customFormat="1" x14ac:dyDescent="0.2">
      <c r="A13" s="79" t="s">
        <v>771</v>
      </c>
      <c r="B13" s="79" t="s">
        <v>768</v>
      </c>
      <c r="C13" s="79" t="s">
        <v>769</v>
      </c>
      <c r="D13" s="79" t="s">
        <v>692</v>
      </c>
      <c r="E13" s="79" t="s">
        <v>828</v>
      </c>
      <c r="F13" s="79">
        <v>1992</v>
      </c>
      <c r="G13" s="79">
        <v>312</v>
      </c>
      <c r="H13" s="79">
        <v>5</v>
      </c>
      <c r="I13" s="79">
        <v>19</v>
      </c>
      <c r="J13" s="79">
        <v>23</v>
      </c>
      <c r="K13" s="79">
        <v>59</v>
      </c>
      <c r="L13" s="79">
        <v>65</v>
      </c>
      <c r="M13" s="79">
        <v>65</v>
      </c>
      <c r="N13" s="79">
        <v>77</v>
      </c>
      <c r="O13" s="79">
        <v>122</v>
      </c>
      <c r="P13" s="79">
        <v>124</v>
      </c>
      <c r="Q13" s="79">
        <v>130</v>
      </c>
      <c r="R13" s="80">
        <v>20.556555269922878</v>
      </c>
      <c r="S13" s="80">
        <v>5.5603361470683428</v>
      </c>
      <c r="T13" s="72">
        <v>658.83354341522499</v>
      </c>
      <c r="U13" s="72">
        <v>888.97341222412865</v>
      </c>
      <c r="V13" s="72">
        <v>248.5853756962041</v>
      </c>
      <c r="W13" s="80">
        <v>0.27963195465874185</v>
      </c>
      <c r="X13" s="79">
        <v>138.45000000000005</v>
      </c>
      <c r="Y13" s="79">
        <v>77</v>
      </c>
      <c r="Z13" s="79">
        <v>0</v>
      </c>
      <c r="AA13" s="79">
        <v>0</v>
      </c>
      <c r="AB13" s="79">
        <v>0.10500724642621861</v>
      </c>
      <c r="AC13" s="79">
        <v>21.658564659993917</v>
      </c>
      <c r="AD13" s="79">
        <v>55.546336294080099</v>
      </c>
      <c r="AE13" s="79">
        <v>135.31277155035446</v>
      </c>
      <c r="AF13" s="79">
        <v>19.544093715107948</v>
      </c>
      <c r="AG13" s="79">
        <v>190.85910784443456</v>
      </c>
      <c r="AH13" s="80">
        <v>0.29103318154993674</v>
      </c>
      <c r="AI13" s="80">
        <v>4.8336379652463997</v>
      </c>
      <c r="AJ13" s="80">
        <v>1.4812580028423574</v>
      </c>
      <c r="AK13" s="80">
        <v>6.3148959680887575</v>
      </c>
      <c r="AL13" s="80">
        <v>2.7344391326582458</v>
      </c>
      <c r="AM13" s="80">
        <v>9.0493351007470011</v>
      </c>
      <c r="AN13" s="80">
        <v>5.6478333333333328</v>
      </c>
      <c r="AO13" s="80">
        <v>5.6</v>
      </c>
      <c r="AP13" s="80">
        <v>5.4530814523004016</v>
      </c>
      <c r="AQ13" s="80">
        <v>5.9432311553912154</v>
      </c>
      <c r="AR13" s="80">
        <v>0.49</v>
      </c>
      <c r="AS13" s="80">
        <v>0.16966064582311882</v>
      </c>
      <c r="AT13" s="80">
        <v>1.0540453374235466</v>
      </c>
    </row>
    <row r="14" spans="1:46" s="76" customFormat="1" x14ac:dyDescent="0.2">
      <c r="A14" s="79" t="s">
        <v>771</v>
      </c>
      <c r="B14" s="79" t="s">
        <v>768</v>
      </c>
      <c r="C14" s="79" t="s">
        <v>769</v>
      </c>
      <c r="D14" s="79" t="s">
        <v>692</v>
      </c>
      <c r="E14" s="79" t="s">
        <v>828</v>
      </c>
      <c r="F14" s="79">
        <v>1993</v>
      </c>
      <c r="G14" s="79">
        <v>312</v>
      </c>
      <c r="H14" s="79">
        <v>6</v>
      </c>
      <c r="I14" s="79">
        <v>22</v>
      </c>
      <c r="J14" s="79">
        <v>26</v>
      </c>
      <c r="K14" s="79">
        <v>61</v>
      </c>
      <c r="L14" s="79">
        <v>67</v>
      </c>
      <c r="M14" s="79">
        <v>67</v>
      </c>
      <c r="N14" s="79">
        <v>79</v>
      </c>
      <c r="O14" s="79">
        <v>120</v>
      </c>
      <c r="P14" s="79">
        <v>122</v>
      </c>
      <c r="Q14" s="79">
        <v>127</v>
      </c>
      <c r="R14" s="80">
        <v>19.773778920308491</v>
      </c>
      <c r="S14" s="80">
        <v>4.9919258112094571</v>
      </c>
      <c r="T14" s="72">
        <v>561.46639485265734</v>
      </c>
      <c r="U14" s="72">
        <v>943.6421152320263</v>
      </c>
      <c r="V14" s="72">
        <v>315.53529447107712</v>
      </c>
      <c r="W14" s="80">
        <v>0.33438025500768326</v>
      </c>
      <c r="X14" s="79">
        <v>138.45000000000005</v>
      </c>
      <c r="Y14" s="79">
        <v>36.4</v>
      </c>
      <c r="Z14" s="79">
        <v>0</v>
      </c>
      <c r="AA14" s="79">
        <v>0</v>
      </c>
      <c r="AB14" s="79">
        <v>0.18943381942791504</v>
      </c>
      <c r="AC14" s="79">
        <v>1.0796938826212199</v>
      </c>
      <c r="AD14" s="79">
        <v>52.910526536185301</v>
      </c>
      <c r="AE14" s="79">
        <v>125.82008024930008</v>
      </c>
      <c r="AF14" s="79">
        <v>0</v>
      </c>
      <c r="AG14" s="79">
        <v>178.73060678548538</v>
      </c>
      <c r="AH14" s="80">
        <v>0.29603504697624999</v>
      </c>
      <c r="AI14" s="80">
        <v>5.0842305390636033</v>
      </c>
      <c r="AJ14" s="80">
        <v>2.6538168427828537</v>
      </c>
      <c r="AK14" s="80">
        <v>7.7380473818464566</v>
      </c>
      <c r="AL14" s="80">
        <v>3.4708882391818494</v>
      </c>
      <c r="AM14" s="80">
        <v>11.208935621028308</v>
      </c>
      <c r="AN14" s="80">
        <v>5.6478333333333328</v>
      </c>
      <c r="AO14" s="80">
        <v>5.6</v>
      </c>
      <c r="AP14" s="80">
        <v>7.5244507602068555</v>
      </c>
      <c r="AQ14" s="80">
        <v>6.8717269204895128</v>
      </c>
      <c r="AR14" s="80">
        <v>0.49</v>
      </c>
      <c r="AS14" s="80">
        <v>0</v>
      </c>
      <c r="AT14" s="80">
        <v>0.20696683194407078</v>
      </c>
    </row>
    <row r="15" spans="1:46" s="76" customFormat="1" x14ac:dyDescent="0.2">
      <c r="A15" s="79" t="s">
        <v>771</v>
      </c>
      <c r="B15" s="79" t="s">
        <v>768</v>
      </c>
      <c r="C15" s="79" t="s">
        <v>769</v>
      </c>
      <c r="D15" s="79" t="s">
        <v>692</v>
      </c>
      <c r="E15" s="79" t="s">
        <v>828</v>
      </c>
      <c r="F15" s="79">
        <v>1994</v>
      </c>
      <c r="G15" s="79">
        <v>312</v>
      </c>
      <c r="H15" s="79">
        <v>6</v>
      </c>
      <c r="I15" s="79">
        <v>23</v>
      </c>
      <c r="J15" s="79">
        <v>27</v>
      </c>
      <c r="K15" s="79">
        <v>64</v>
      </c>
      <c r="L15" s="79">
        <v>70</v>
      </c>
      <c r="M15" s="79">
        <v>70</v>
      </c>
      <c r="N15" s="79">
        <v>86</v>
      </c>
      <c r="O15" s="79">
        <v>125</v>
      </c>
      <c r="P15" s="79">
        <v>128</v>
      </c>
      <c r="Q15" s="79">
        <v>133</v>
      </c>
      <c r="R15" s="80">
        <v>20.163239074550123</v>
      </c>
      <c r="S15" s="80">
        <v>5.2620758518330772</v>
      </c>
      <c r="T15" s="72">
        <v>576.20978834872392</v>
      </c>
      <c r="U15" s="72">
        <v>1114.1213220205864</v>
      </c>
      <c r="V15" s="72">
        <v>382.8479990540182</v>
      </c>
      <c r="W15" s="80">
        <v>0.34363223111407409</v>
      </c>
      <c r="X15" s="79">
        <v>138.45000000000005</v>
      </c>
      <c r="Y15" s="79">
        <v>47.8</v>
      </c>
      <c r="Z15" s="79">
        <v>0</v>
      </c>
      <c r="AA15" s="79">
        <v>0</v>
      </c>
      <c r="AB15" s="79">
        <v>4.4966868393068786</v>
      </c>
      <c r="AC15" s="79">
        <v>2.0469397203190436</v>
      </c>
      <c r="AD15" s="79">
        <v>33.686697174769463</v>
      </c>
      <c r="AE15" s="79">
        <v>144.32198518509833</v>
      </c>
      <c r="AF15" s="79">
        <v>0</v>
      </c>
      <c r="AG15" s="79">
        <v>178.00868235986781</v>
      </c>
      <c r="AH15" s="80">
        <v>0.18924186638407189</v>
      </c>
      <c r="AI15" s="80">
        <v>6.2319225556266939</v>
      </c>
      <c r="AJ15" s="80">
        <v>5.8104857147498148</v>
      </c>
      <c r="AK15" s="80">
        <v>12.042408270376509</v>
      </c>
      <c r="AL15" s="80">
        <v>4.2113279895941993</v>
      </c>
      <c r="AM15" s="80">
        <v>16.253736259970712</v>
      </c>
      <c r="AN15" s="80">
        <v>5.6478333333333328</v>
      </c>
      <c r="AO15" s="80">
        <v>5.6</v>
      </c>
      <c r="AP15" s="80">
        <v>7.9034096568343291</v>
      </c>
      <c r="AQ15" s="80">
        <v>1.8380674689740526</v>
      </c>
      <c r="AR15" s="80">
        <v>0.49</v>
      </c>
      <c r="AS15" s="80">
        <v>0</v>
      </c>
      <c r="AT15" s="80">
        <v>0.57478047321578984</v>
      </c>
    </row>
    <row r="16" spans="1:46" s="76" customFormat="1" x14ac:dyDescent="0.2">
      <c r="A16" s="79" t="s">
        <v>771</v>
      </c>
      <c r="B16" s="79" t="s">
        <v>768</v>
      </c>
      <c r="C16" s="79" t="s">
        <v>769</v>
      </c>
      <c r="D16" s="79" t="s">
        <v>692</v>
      </c>
      <c r="E16" s="79" t="s">
        <v>828</v>
      </c>
      <c r="F16" s="79">
        <v>1995</v>
      </c>
      <c r="G16" s="79">
        <v>312</v>
      </c>
      <c r="H16" s="79">
        <v>5</v>
      </c>
      <c r="I16" s="79">
        <v>20</v>
      </c>
      <c r="J16" s="79">
        <v>24</v>
      </c>
      <c r="K16" s="79">
        <v>56</v>
      </c>
      <c r="L16" s="79">
        <v>62</v>
      </c>
      <c r="M16" s="76">
        <v>62</v>
      </c>
      <c r="N16" s="79">
        <v>73</v>
      </c>
      <c r="O16" s="79">
        <v>115</v>
      </c>
      <c r="P16" s="79">
        <v>118</v>
      </c>
      <c r="Q16" s="79">
        <v>124</v>
      </c>
      <c r="R16" s="80">
        <v>21.047557840616975</v>
      </c>
      <c r="S16" s="80">
        <v>5.2667680911326329</v>
      </c>
      <c r="T16" s="72">
        <v>677.21704598261852</v>
      </c>
      <c r="U16" s="72">
        <v>879.44438798641704</v>
      </c>
      <c r="V16" s="72">
        <v>249.5478196285323</v>
      </c>
      <c r="W16" s="80">
        <v>0.28375622176899301</v>
      </c>
      <c r="X16" s="79">
        <v>138.45000000000005</v>
      </c>
      <c r="Y16" s="79">
        <v>13</v>
      </c>
      <c r="Z16" s="79">
        <v>0</v>
      </c>
      <c r="AA16" s="79">
        <v>0</v>
      </c>
      <c r="AB16" s="79">
        <v>0.1404952491102307</v>
      </c>
      <c r="AC16" s="79">
        <v>0.31224303975564227</v>
      </c>
      <c r="AD16" s="79">
        <v>47.913126144663678</v>
      </c>
      <c r="AE16" s="79">
        <v>119.8699919247903</v>
      </c>
      <c r="AF16" s="79">
        <v>0</v>
      </c>
      <c r="AG16" s="79">
        <v>167.78311806945396</v>
      </c>
      <c r="AH16" s="80">
        <v>0.28556581758822613</v>
      </c>
      <c r="AI16" s="80">
        <v>5.0838858104565583</v>
      </c>
      <c r="AJ16" s="80">
        <v>1.7227959684889902</v>
      </c>
      <c r="AK16" s="80">
        <v>6.8066817789455483</v>
      </c>
      <c r="AL16" s="80">
        <v>2.7450260159138558</v>
      </c>
      <c r="AM16" s="80">
        <v>9.5517077948594036</v>
      </c>
      <c r="AN16" s="80">
        <v>5.6478333333333328</v>
      </c>
      <c r="AO16" s="80">
        <v>5.6</v>
      </c>
      <c r="AP16" s="80">
        <v>6.6214071721535923</v>
      </c>
      <c r="AQ16" s="80">
        <v>7.8328864809604619</v>
      </c>
      <c r="AR16" s="80">
        <v>0.49</v>
      </c>
      <c r="AS16" s="80">
        <v>0</v>
      </c>
      <c r="AT16" s="80">
        <v>0</v>
      </c>
    </row>
    <row r="17" spans="1:46" s="76" customFormat="1" x14ac:dyDescent="0.2">
      <c r="A17" s="79" t="s">
        <v>771</v>
      </c>
      <c r="B17" s="79" t="s">
        <v>768</v>
      </c>
      <c r="C17" s="79" t="s">
        <v>769</v>
      </c>
      <c r="D17" s="79" t="s">
        <v>692</v>
      </c>
      <c r="E17" s="79" t="s">
        <v>828</v>
      </c>
      <c r="F17" s="79">
        <v>1996</v>
      </c>
      <c r="G17" s="79">
        <v>312</v>
      </c>
      <c r="H17" s="79">
        <v>5</v>
      </c>
      <c r="I17" s="79">
        <v>21</v>
      </c>
      <c r="J17" s="79">
        <v>25</v>
      </c>
      <c r="K17" s="79">
        <v>58</v>
      </c>
      <c r="L17" s="79">
        <v>65</v>
      </c>
      <c r="M17" s="76">
        <v>65</v>
      </c>
      <c r="N17" s="79">
        <v>78</v>
      </c>
      <c r="O17" s="79">
        <v>122</v>
      </c>
      <c r="P17" s="79">
        <v>125</v>
      </c>
      <c r="Q17" s="79">
        <v>130</v>
      </c>
      <c r="R17" s="80">
        <v>20.686375321336762</v>
      </c>
      <c r="S17" s="80">
        <v>5.7393846401932347</v>
      </c>
      <c r="T17" s="72">
        <v>595.94498794423225</v>
      </c>
      <c r="U17" s="72">
        <v>1077.2052652381881</v>
      </c>
      <c r="V17" s="72">
        <v>380.28912882428756</v>
      </c>
      <c r="W17" s="80">
        <v>0.35303311036997964</v>
      </c>
      <c r="X17" s="79">
        <v>138.45000000000005</v>
      </c>
      <c r="Y17" s="79">
        <v>33.799999999999997</v>
      </c>
      <c r="Z17" s="79">
        <v>0</v>
      </c>
      <c r="AA17" s="79">
        <v>0</v>
      </c>
      <c r="AB17" s="79">
        <v>9.2939343312622213E-2</v>
      </c>
      <c r="AC17" s="79">
        <v>2.9306498798058302</v>
      </c>
      <c r="AD17" s="79">
        <v>31.845901477202737</v>
      </c>
      <c r="AE17" s="79">
        <v>141.61501910904525</v>
      </c>
      <c r="AF17" s="79">
        <v>0</v>
      </c>
      <c r="AG17" s="79">
        <v>173.46092058624799</v>
      </c>
      <c r="AH17" s="80">
        <v>0.18359120621325367</v>
      </c>
      <c r="AI17" s="80">
        <v>6.1118630265656142</v>
      </c>
      <c r="AJ17" s="80">
        <v>3.7716165970719393</v>
      </c>
      <c r="AK17" s="80">
        <v>9.8834796236375535</v>
      </c>
      <c r="AL17" s="80">
        <v>4.1831804170671614</v>
      </c>
      <c r="AM17" s="80">
        <v>14.066660040704718</v>
      </c>
      <c r="AN17" s="80">
        <v>5.6478333333333328</v>
      </c>
      <c r="AO17" s="80">
        <v>5.6</v>
      </c>
      <c r="AP17" s="80">
        <v>5.6453441299728961</v>
      </c>
      <c r="AQ17" s="80">
        <v>1.5879158711073638</v>
      </c>
      <c r="AR17" s="80">
        <v>0.49</v>
      </c>
      <c r="AS17" s="80">
        <v>0</v>
      </c>
      <c r="AT17" s="80">
        <v>0.75395691424248756</v>
      </c>
    </row>
    <row r="18" spans="1:46" s="76" customFormat="1" x14ac:dyDescent="0.2">
      <c r="A18" s="79" t="s">
        <v>771</v>
      </c>
      <c r="B18" s="79" t="s">
        <v>768</v>
      </c>
      <c r="C18" s="79" t="s">
        <v>769</v>
      </c>
      <c r="D18" s="79" t="s">
        <v>692</v>
      </c>
      <c r="E18" s="79" t="s">
        <v>828</v>
      </c>
      <c r="F18" s="79">
        <v>1997</v>
      </c>
      <c r="G18" s="79">
        <v>312</v>
      </c>
      <c r="H18" s="79">
        <v>5</v>
      </c>
      <c r="I18" s="79">
        <v>18</v>
      </c>
      <c r="J18" s="79">
        <v>22</v>
      </c>
      <c r="K18" s="79">
        <v>50</v>
      </c>
      <c r="L18" s="79">
        <v>56</v>
      </c>
      <c r="M18" s="76">
        <v>56</v>
      </c>
      <c r="N18" s="79">
        <v>69</v>
      </c>
      <c r="O18" s="79">
        <v>110</v>
      </c>
      <c r="P18" s="79">
        <v>113</v>
      </c>
      <c r="Q18" s="79">
        <v>118</v>
      </c>
      <c r="R18" s="80">
        <v>21.362467866323907</v>
      </c>
      <c r="S18" s="80">
        <v>6.3040163231631574</v>
      </c>
      <c r="T18" s="72">
        <v>625.14573683184074</v>
      </c>
      <c r="U18" s="72">
        <v>1133.301966278533</v>
      </c>
      <c r="V18" s="72">
        <v>382.39870855045336</v>
      </c>
      <c r="W18" s="80">
        <v>0.33741996092352244</v>
      </c>
      <c r="X18" s="79">
        <v>138.45000000000005</v>
      </c>
      <c r="Y18" s="79">
        <v>108.80000000000001</v>
      </c>
      <c r="Z18" s="79">
        <v>0</v>
      </c>
      <c r="AA18" s="79">
        <v>0</v>
      </c>
      <c r="AB18" s="79">
        <v>19.60798069122912</v>
      </c>
      <c r="AC18" s="79">
        <v>11.539598282624359</v>
      </c>
      <c r="AD18" s="79">
        <v>68.544363656600055</v>
      </c>
      <c r="AE18" s="79">
        <v>145.91524821238946</v>
      </c>
      <c r="AF18" s="79">
        <v>0</v>
      </c>
      <c r="AG18" s="79">
        <v>214.4596118689895</v>
      </c>
      <c r="AH18" s="80">
        <v>0.31961430808860086</v>
      </c>
      <c r="AI18" s="80">
        <v>7.018275228253164</v>
      </c>
      <c r="AJ18" s="80">
        <v>4.6867913843006663</v>
      </c>
      <c r="AK18" s="80">
        <v>11.70506661255383</v>
      </c>
      <c r="AL18" s="80">
        <v>4.206385794054988</v>
      </c>
      <c r="AM18" s="80">
        <v>15.911452406608817</v>
      </c>
      <c r="AN18" s="80">
        <v>5.6478333333333328</v>
      </c>
      <c r="AO18" s="80">
        <v>5.6</v>
      </c>
      <c r="AP18" s="80">
        <v>7.3374006376281251</v>
      </c>
      <c r="AQ18" s="80">
        <v>1.0270614152300439</v>
      </c>
      <c r="AR18" s="80">
        <v>0.49</v>
      </c>
      <c r="AS18" s="80">
        <v>0</v>
      </c>
      <c r="AT18" s="80">
        <v>1.1620629017681645</v>
      </c>
    </row>
    <row r="19" spans="1:46" s="76" customFormat="1" x14ac:dyDescent="0.2">
      <c r="A19" s="79" t="s">
        <v>771</v>
      </c>
      <c r="B19" s="79" t="s">
        <v>768</v>
      </c>
      <c r="C19" s="79" t="s">
        <v>769</v>
      </c>
      <c r="D19" s="79" t="s">
        <v>692</v>
      </c>
      <c r="E19" s="79" t="s">
        <v>828</v>
      </c>
      <c r="F19" s="79">
        <v>1998</v>
      </c>
      <c r="G19" s="79">
        <v>312</v>
      </c>
      <c r="H19" s="79">
        <v>6</v>
      </c>
      <c r="I19" s="79">
        <v>23</v>
      </c>
      <c r="J19" s="79">
        <v>27</v>
      </c>
      <c r="K19" s="79">
        <v>66</v>
      </c>
      <c r="L19" s="79">
        <v>73</v>
      </c>
      <c r="M19" s="76">
        <v>73</v>
      </c>
      <c r="N19" s="79">
        <v>86</v>
      </c>
      <c r="O19" s="79">
        <v>126</v>
      </c>
      <c r="P19" s="79">
        <v>129</v>
      </c>
      <c r="Q19" s="79">
        <v>134</v>
      </c>
      <c r="R19" s="80">
        <v>20.082262210796916</v>
      </c>
      <c r="S19" s="80">
        <v>4.7811168969159867</v>
      </c>
      <c r="T19" s="72">
        <v>572.59692395851653</v>
      </c>
      <c r="U19" s="72">
        <v>790.68435889087675</v>
      </c>
      <c r="V19" s="72">
        <v>229.60214833914367</v>
      </c>
      <c r="W19" s="80">
        <v>0.29038407406638811</v>
      </c>
      <c r="X19" s="79">
        <v>138.45000000000005</v>
      </c>
      <c r="Y19" s="79">
        <v>16.399999999999999</v>
      </c>
      <c r="Z19" s="79">
        <v>0</v>
      </c>
      <c r="AA19" s="79">
        <v>0</v>
      </c>
      <c r="AB19" s="79">
        <v>7.0764121984900896E-2</v>
      </c>
      <c r="AC19" s="79">
        <v>0.38048492382232918</v>
      </c>
      <c r="AD19" s="79">
        <v>52.060407964906823</v>
      </c>
      <c r="AE19" s="79">
        <v>116.49535655700529</v>
      </c>
      <c r="AF19" s="79">
        <v>0</v>
      </c>
      <c r="AG19" s="79">
        <v>168.55576452191212</v>
      </c>
      <c r="AH19" s="80">
        <v>0.30886161042283966</v>
      </c>
      <c r="AI19" s="80">
        <v>4.7192565696147595</v>
      </c>
      <c r="AJ19" s="80">
        <v>1.7094380608434314</v>
      </c>
      <c r="AK19" s="80">
        <v>6.4286946304581907</v>
      </c>
      <c r="AL19" s="80">
        <v>2.5256236317305825</v>
      </c>
      <c r="AM19" s="80">
        <v>8.9543182621887709</v>
      </c>
      <c r="AN19" s="80">
        <v>5.6478333333333328</v>
      </c>
      <c r="AO19" s="80">
        <v>5.6</v>
      </c>
      <c r="AP19" s="80">
        <v>6.5822891646782811</v>
      </c>
      <c r="AQ19" s="80">
        <v>8.3911575497721707</v>
      </c>
      <c r="AR19" s="80">
        <v>0.49</v>
      </c>
      <c r="AS19" s="80">
        <v>0</v>
      </c>
      <c r="AT19" s="80">
        <v>0</v>
      </c>
    </row>
    <row r="20" spans="1:46" s="76" customFormat="1" x14ac:dyDescent="0.2">
      <c r="A20" s="79" t="s">
        <v>771</v>
      </c>
      <c r="B20" s="79" t="s">
        <v>768</v>
      </c>
      <c r="C20" s="79" t="s">
        <v>769</v>
      </c>
      <c r="D20" s="79" t="s">
        <v>692</v>
      </c>
      <c r="E20" s="79" t="s">
        <v>828</v>
      </c>
      <c r="F20" s="79">
        <v>1999</v>
      </c>
      <c r="G20" s="79">
        <v>312</v>
      </c>
      <c r="H20" s="79">
        <v>6</v>
      </c>
      <c r="I20" s="79">
        <v>25</v>
      </c>
      <c r="J20" s="79">
        <v>29</v>
      </c>
      <c r="K20" s="79">
        <v>66</v>
      </c>
      <c r="L20" s="79">
        <v>71</v>
      </c>
      <c r="M20" s="76">
        <v>71</v>
      </c>
      <c r="N20" s="79">
        <v>84</v>
      </c>
      <c r="O20" s="79">
        <v>126</v>
      </c>
      <c r="P20" s="79">
        <v>129</v>
      </c>
      <c r="Q20" s="79">
        <v>135</v>
      </c>
      <c r="R20" s="80">
        <v>20.196658097686385</v>
      </c>
      <c r="S20" s="80">
        <v>4.905397096417226</v>
      </c>
      <c r="T20" s="72">
        <v>551.08461975642217</v>
      </c>
      <c r="U20" s="72">
        <v>845.33261422686792</v>
      </c>
      <c r="V20" s="72">
        <v>311.55237682400269</v>
      </c>
      <c r="W20" s="80">
        <v>0.36855595997959401</v>
      </c>
      <c r="X20" s="79">
        <v>138.45000000000005</v>
      </c>
      <c r="Y20" s="79">
        <v>57.800000000000004</v>
      </c>
      <c r="Z20" s="79">
        <v>0</v>
      </c>
      <c r="AA20" s="79">
        <v>0</v>
      </c>
      <c r="AB20" s="79">
        <v>2.5576849467842777E-2</v>
      </c>
      <c r="AC20" s="79">
        <v>17.55333198797635</v>
      </c>
      <c r="AD20" s="79">
        <v>33.221206525763485</v>
      </c>
      <c r="AE20" s="79">
        <v>145.09411456736353</v>
      </c>
      <c r="AF20" s="79">
        <v>0</v>
      </c>
      <c r="AG20" s="79">
        <v>178.31532109312701</v>
      </c>
      <c r="AH20" s="80">
        <v>0.18630594644951404</v>
      </c>
      <c r="AI20" s="80">
        <v>5.3712841496066028</v>
      </c>
      <c r="AJ20" s="80">
        <v>1.9514140376644757</v>
      </c>
      <c r="AK20" s="80">
        <v>7.3226981872710786</v>
      </c>
      <c r="AL20" s="80">
        <v>3.4270761450640284</v>
      </c>
      <c r="AM20" s="80">
        <v>10.749774332335111</v>
      </c>
      <c r="AN20" s="80">
        <v>5.6478333333333328</v>
      </c>
      <c r="AO20" s="80">
        <v>5.6</v>
      </c>
      <c r="AP20" s="80">
        <v>6.7314963312437532</v>
      </c>
      <c r="AQ20" s="80">
        <v>5.5135976515194152</v>
      </c>
      <c r="AR20" s="80">
        <v>0.49</v>
      </c>
      <c r="AS20" s="80">
        <v>0</v>
      </c>
      <c r="AT20" s="80">
        <v>1.2312969192562209</v>
      </c>
    </row>
    <row r="21" spans="1:46" s="76" customFormat="1" x14ac:dyDescent="0.2">
      <c r="A21" s="79" t="s">
        <v>774</v>
      </c>
      <c r="B21" s="79" t="s">
        <v>768</v>
      </c>
      <c r="C21" s="79" t="s">
        <v>770</v>
      </c>
      <c r="D21" s="79" t="s">
        <v>692</v>
      </c>
      <c r="E21" s="79" t="s">
        <v>828</v>
      </c>
      <c r="F21" s="79">
        <v>1990</v>
      </c>
      <c r="G21" s="79">
        <v>312</v>
      </c>
      <c r="H21" s="79">
        <v>6</v>
      </c>
      <c r="I21" s="79">
        <v>20</v>
      </c>
      <c r="J21" s="79">
        <v>24</v>
      </c>
      <c r="K21" s="79">
        <v>57</v>
      </c>
      <c r="L21" s="79">
        <v>63</v>
      </c>
      <c r="M21" s="76">
        <v>63</v>
      </c>
      <c r="N21" s="79">
        <v>74</v>
      </c>
      <c r="O21" s="79">
        <v>115</v>
      </c>
      <c r="P21" s="79">
        <v>117</v>
      </c>
      <c r="Q21" s="79">
        <v>123</v>
      </c>
      <c r="R21" s="80">
        <v>21.154241645244223</v>
      </c>
      <c r="S21" s="80">
        <v>6.1109232008720715</v>
      </c>
      <c r="T21" s="72">
        <v>641.26787077659606</v>
      </c>
      <c r="U21" s="72">
        <v>2090.4801043603811</v>
      </c>
      <c r="V21" s="72">
        <v>1184.7019184639969</v>
      </c>
      <c r="W21" s="80">
        <v>0.56671283803456651</v>
      </c>
      <c r="X21" s="79">
        <v>138.45000000000005</v>
      </c>
      <c r="Y21" s="79">
        <v>26.3</v>
      </c>
      <c r="Z21" s="79">
        <v>438.82936098811524</v>
      </c>
      <c r="AA21" s="79">
        <v>5</v>
      </c>
      <c r="AB21" s="79">
        <v>123.65858686978088</v>
      </c>
      <c r="AC21" s="79">
        <v>0</v>
      </c>
      <c r="AD21" s="79">
        <v>49.209541288119802</v>
      </c>
      <c r="AE21" s="79">
        <v>308.51352202333919</v>
      </c>
      <c r="AF21" s="79">
        <v>120.69640364818343</v>
      </c>
      <c r="AG21" s="79">
        <v>357.72306331145899</v>
      </c>
      <c r="AH21" s="80">
        <v>0.13756322965858706</v>
      </c>
      <c r="AI21" s="80">
        <v>2.1777957863038107</v>
      </c>
      <c r="AJ21" s="80">
        <v>2.1857469813717754</v>
      </c>
      <c r="AK21" s="80">
        <v>4.363542767675586</v>
      </c>
      <c r="AL21" s="80">
        <v>13.031721103103965</v>
      </c>
      <c r="AM21" s="80">
        <v>17.395263870779544</v>
      </c>
      <c r="AN21" s="80">
        <v>5.6478333333333328</v>
      </c>
      <c r="AO21" s="80">
        <v>5.6</v>
      </c>
      <c r="AP21" s="80">
        <v>10.509874698397098</v>
      </c>
      <c r="AQ21" s="80">
        <v>1.6268816109718365</v>
      </c>
      <c r="AR21" s="80">
        <v>0.49</v>
      </c>
      <c r="AS21" s="80">
        <v>0.90638105436790661</v>
      </c>
      <c r="AT21" s="80">
        <v>1.3445305727815937</v>
      </c>
    </row>
    <row r="22" spans="1:46" s="76" customFormat="1" x14ac:dyDescent="0.2">
      <c r="A22" s="79" t="s">
        <v>774</v>
      </c>
      <c r="B22" s="79" t="s">
        <v>768</v>
      </c>
      <c r="C22" s="79" t="s">
        <v>770</v>
      </c>
      <c r="D22" s="79" t="s">
        <v>692</v>
      </c>
      <c r="E22" s="79" t="s">
        <v>828</v>
      </c>
      <c r="F22" s="79">
        <v>1991</v>
      </c>
      <c r="G22" s="79">
        <v>312</v>
      </c>
      <c r="H22" s="79">
        <v>6</v>
      </c>
      <c r="I22" s="79">
        <v>22</v>
      </c>
      <c r="J22" s="79">
        <v>26</v>
      </c>
      <c r="K22" s="79">
        <v>61</v>
      </c>
      <c r="L22" s="79">
        <v>68</v>
      </c>
      <c r="M22" s="76">
        <v>68</v>
      </c>
      <c r="N22" s="79">
        <v>80</v>
      </c>
      <c r="O22" s="79">
        <v>124</v>
      </c>
      <c r="P22" s="79">
        <v>126</v>
      </c>
      <c r="Q22" s="79">
        <v>131</v>
      </c>
      <c r="R22" s="80">
        <v>20.835475578406168</v>
      </c>
      <c r="S22" s="80">
        <v>5.9036583408588275</v>
      </c>
      <c r="T22" s="72">
        <v>666.09498850735008</v>
      </c>
      <c r="U22" s="72">
        <v>2188.4108181259289</v>
      </c>
      <c r="V22" s="72">
        <v>1265.6594533602436</v>
      </c>
      <c r="W22" s="80">
        <v>0.57834636764437219</v>
      </c>
      <c r="X22" s="79">
        <v>138.45000000000005</v>
      </c>
      <c r="Y22" s="79">
        <v>2</v>
      </c>
      <c r="Z22" s="79">
        <v>369.12163032780677</v>
      </c>
      <c r="AA22" s="79">
        <v>6</v>
      </c>
      <c r="AB22" s="79">
        <v>96.242844407868191</v>
      </c>
      <c r="AC22" s="79">
        <v>0</v>
      </c>
      <c r="AD22" s="79">
        <v>52.586886327869095</v>
      </c>
      <c r="AE22" s="79">
        <v>358.97566881950746</v>
      </c>
      <c r="AF22" s="79">
        <v>0</v>
      </c>
      <c r="AG22" s="79">
        <v>411.56255514737654</v>
      </c>
      <c r="AH22" s="80">
        <v>0.12777373546847792</v>
      </c>
      <c r="AI22" s="80">
        <v>2.7340280226543281</v>
      </c>
      <c r="AJ22" s="80">
        <v>2.7595847462799004</v>
      </c>
      <c r="AK22" s="80">
        <v>5.4936127689342289</v>
      </c>
      <c r="AL22" s="80">
        <v>13.92225398696268</v>
      </c>
      <c r="AM22" s="80">
        <v>19.415866755896918</v>
      </c>
      <c r="AN22" s="80">
        <v>5.6478333333333328</v>
      </c>
      <c r="AO22" s="80">
        <v>5.6</v>
      </c>
      <c r="AP22" s="80">
        <v>14.935590827905745</v>
      </c>
      <c r="AQ22" s="80">
        <v>3.7421004343674307</v>
      </c>
      <c r="AR22" s="80">
        <v>0.49</v>
      </c>
      <c r="AS22" s="80">
        <v>0</v>
      </c>
      <c r="AT22" s="80">
        <v>2.5407915160385466</v>
      </c>
    </row>
    <row r="23" spans="1:46" s="76" customFormat="1" x14ac:dyDescent="0.2">
      <c r="A23" s="79" t="s">
        <v>774</v>
      </c>
      <c r="B23" s="79" t="s">
        <v>768</v>
      </c>
      <c r="C23" s="79" t="s">
        <v>770</v>
      </c>
      <c r="D23" s="79" t="s">
        <v>692</v>
      </c>
      <c r="E23" s="79" t="s">
        <v>828</v>
      </c>
      <c r="F23" s="79">
        <v>1992</v>
      </c>
      <c r="G23" s="79">
        <v>312</v>
      </c>
      <c r="H23" s="79">
        <v>5</v>
      </c>
      <c r="I23" s="79">
        <v>19</v>
      </c>
      <c r="J23" s="79">
        <v>23</v>
      </c>
      <c r="K23" s="79">
        <v>59</v>
      </c>
      <c r="L23" s="79">
        <v>65</v>
      </c>
      <c r="M23" s="76">
        <v>65</v>
      </c>
      <c r="N23" s="79">
        <v>77</v>
      </c>
      <c r="O23" s="79">
        <v>122</v>
      </c>
      <c r="P23" s="79">
        <v>124</v>
      </c>
      <c r="Q23" s="79">
        <v>130</v>
      </c>
      <c r="R23" s="80">
        <v>20.556555269922878</v>
      </c>
      <c r="S23" s="80">
        <v>5.6388987016669017</v>
      </c>
      <c r="T23" s="72">
        <v>656.14955665674154</v>
      </c>
      <c r="U23" s="72">
        <v>1954.5804993566098</v>
      </c>
      <c r="V23" s="72">
        <v>1067.9970492623841</v>
      </c>
      <c r="W23" s="80">
        <v>0.54640729514587105</v>
      </c>
      <c r="X23" s="79">
        <v>138.45000000000005</v>
      </c>
      <c r="Y23" s="79">
        <v>77</v>
      </c>
      <c r="Z23" s="79">
        <v>370.45999568447587</v>
      </c>
      <c r="AA23" s="79">
        <v>6</v>
      </c>
      <c r="AB23" s="79">
        <v>134.79185095338642</v>
      </c>
      <c r="AC23" s="79">
        <v>0</v>
      </c>
      <c r="AD23" s="79">
        <v>82.224708965324936</v>
      </c>
      <c r="AE23" s="79">
        <v>322.06961488778711</v>
      </c>
      <c r="AF23" s="79">
        <v>45.022429954118323</v>
      </c>
      <c r="AG23" s="79">
        <v>404.29432385311202</v>
      </c>
      <c r="AH23" s="80">
        <v>0.20337833622768203</v>
      </c>
      <c r="AI23" s="80">
        <v>2.1464352959604209</v>
      </c>
      <c r="AJ23" s="80">
        <v>2.2150748004096337</v>
      </c>
      <c r="AK23" s="80">
        <v>4.3615100963700542</v>
      </c>
      <c r="AL23" s="80">
        <v>11.747967541886226</v>
      </c>
      <c r="AM23" s="80">
        <v>16.10947763825628</v>
      </c>
      <c r="AN23" s="80">
        <v>5.6478333333333328</v>
      </c>
      <c r="AO23" s="80">
        <v>5.6</v>
      </c>
      <c r="AP23" s="80">
        <v>11.335369394864916</v>
      </c>
      <c r="AQ23" s="80">
        <v>2.7092070263117929</v>
      </c>
      <c r="AR23" s="80">
        <v>0.49</v>
      </c>
      <c r="AS23" s="80">
        <v>0.40241366543402723</v>
      </c>
      <c r="AT23" s="80">
        <v>2.877445952741982</v>
      </c>
    </row>
    <row r="24" spans="1:46" s="76" customFormat="1" x14ac:dyDescent="0.2">
      <c r="A24" s="79" t="s">
        <v>774</v>
      </c>
      <c r="B24" s="79" t="s">
        <v>768</v>
      </c>
      <c r="C24" s="79" t="s">
        <v>770</v>
      </c>
      <c r="D24" s="79" t="s">
        <v>692</v>
      </c>
      <c r="E24" s="79" t="s">
        <v>828</v>
      </c>
      <c r="F24" s="79">
        <v>1993</v>
      </c>
      <c r="G24" s="79">
        <v>312</v>
      </c>
      <c r="H24" s="79">
        <v>6</v>
      </c>
      <c r="I24" s="79">
        <v>22</v>
      </c>
      <c r="J24" s="79">
        <v>26</v>
      </c>
      <c r="K24" s="79">
        <v>61</v>
      </c>
      <c r="L24" s="79">
        <v>67</v>
      </c>
      <c r="M24" s="76">
        <v>67</v>
      </c>
      <c r="N24" s="79">
        <v>79</v>
      </c>
      <c r="O24" s="79">
        <v>120</v>
      </c>
      <c r="P24" s="79">
        <v>122</v>
      </c>
      <c r="Q24" s="79">
        <v>127</v>
      </c>
      <c r="R24" s="80">
        <v>19.773778920308491</v>
      </c>
      <c r="S24" s="80">
        <v>5.0109396594722764</v>
      </c>
      <c r="T24" s="72">
        <v>561.48770923590234</v>
      </c>
      <c r="U24" s="72">
        <v>2149.7312616216777</v>
      </c>
      <c r="V24" s="72">
        <v>1261.4408023232204</v>
      </c>
      <c r="W24" s="80">
        <v>0.58678999509163576</v>
      </c>
      <c r="X24" s="79">
        <v>138.45000000000005</v>
      </c>
      <c r="Y24" s="79">
        <v>36.4</v>
      </c>
      <c r="Z24" s="79">
        <v>366.96642864295524</v>
      </c>
      <c r="AA24" s="79">
        <v>6</v>
      </c>
      <c r="AB24" s="79">
        <v>138.26359108846196</v>
      </c>
      <c r="AC24" s="79">
        <v>0</v>
      </c>
      <c r="AD24" s="79">
        <v>76.59086723091221</v>
      </c>
      <c r="AE24" s="79">
        <v>325.46658737124545</v>
      </c>
      <c r="AF24" s="79">
        <v>0</v>
      </c>
      <c r="AG24" s="79">
        <v>402.05745460215769</v>
      </c>
      <c r="AH24" s="80">
        <v>0.19049731437445169</v>
      </c>
      <c r="AI24" s="80">
        <v>2.5719683234895645</v>
      </c>
      <c r="AJ24" s="80">
        <v>2.9266895644801361</v>
      </c>
      <c r="AK24" s="80">
        <v>5.498657887969701</v>
      </c>
      <c r="AL24" s="80">
        <v>13.875848825555428</v>
      </c>
      <c r="AM24" s="80">
        <v>19.374506713525122</v>
      </c>
      <c r="AN24" s="80">
        <v>5.6478333333333328</v>
      </c>
      <c r="AO24" s="80">
        <v>5.6</v>
      </c>
      <c r="AP24" s="80">
        <v>14.192279273948811</v>
      </c>
      <c r="AQ24" s="80">
        <v>2.6269054926075084</v>
      </c>
      <c r="AR24" s="80">
        <v>0.49</v>
      </c>
      <c r="AS24" s="80">
        <v>0</v>
      </c>
      <c r="AT24" s="80">
        <v>2.954026730705587</v>
      </c>
    </row>
    <row r="25" spans="1:46" s="76" customFormat="1" x14ac:dyDescent="0.2">
      <c r="A25" s="79" t="s">
        <v>774</v>
      </c>
      <c r="B25" s="79" t="s">
        <v>768</v>
      </c>
      <c r="C25" s="79" t="s">
        <v>770</v>
      </c>
      <c r="D25" s="79" t="s">
        <v>692</v>
      </c>
      <c r="E25" s="79" t="s">
        <v>828</v>
      </c>
      <c r="F25" s="79">
        <v>1994</v>
      </c>
      <c r="G25" s="79">
        <v>312</v>
      </c>
      <c r="H25" s="79">
        <v>6</v>
      </c>
      <c r="I25" s="79">
        <v>23</v>
      </c>
      <c r="J25" s="79">
        <v>27</v>
      </c>
      <c r="K25" s="79">
        <v>64</v>
      </c>
      <c r="L25" s="79">
        <v>70</v>
      </c>
      <c r="M25" s="76">
        <v>70</v>
      </c>
      <c r="N25" s="79">
        <v>86</v>
      </c>
      <c r="O25" s="79">
        <v>125</v>
      </c>
      <c r="P25" s="79">
        <v>128</v>
      </c>
      <c r="Q25" s="79">
        <v>133</v>
      </c>
      <c r="R25" s="80">
        <v>20.163239074550123</v>
      </c>
      <c r="S25" s="80">
        <v>5.3055343532602963</v>
      </c>
      <c r="T25" s="72">
        <v>576.41320021680883</v>
      </c>
      <c r="U25" s="72">
        <v>2177.3508300052308</v>
      </c>
      <c r="V25" s="72">
        <v>1259.4995082752923</v>
      </c>
      <c r="W25" s="80">
        <v>0.57845501291480728</v>
      </c>
      <c r="X25" s="79">
        <v>138.45000000000005</v>
      </c>
      <c r="Y25" s="79">
        <v>47.8</v>
      </c>
      <c r="Z25" s="79">
        <v>367.1213859922326</v>
      </c>
      <c r="AA25" s="79">
        <v>6</v>
      </c>
      <c r="AB25" s="79">
        <v>146.81933783330476</v>
      </c>
      <c r="AC25" s="79">
        <v>0</v>
      </c>
      <c r="AD25" s="79">
        <v>70.617726620331268</v>
      </c>
      <c r="AE25" s="79">
        <v>334.47253230775175</v>
      </c>
      <c r="AF25" s="79">
        <v>0</v>
      </c>
      <c r="AG25" s="79">
        <v>405.09025892808302</v>
      </c>
      <c r="AH25" s="80">
        <v>0.17432590224197231</v>
      </c>
      <c r="AI25" s="80">
        <v>2.5590385668940128</v>
      </c>
      <c r="AJ25" s="80">
        <v>2.8430694016700619</v>
      </c>
      <c r="AK25" s="80">
        <v>5.4021079685640743</v>
      </c>
      <c r="AL25" s="80">
        <v>13.854494591028214</v>
      </c>
      <c r="AM25" s="80">
        <v>19.256602559592288</v>
      </c>
      <c r="AN25" s="80">
        <v>5.6478333333333328</v>
      </c>
      <c r="AO25" s="80">
        <v>5.6</v>
      </c>
      <c r="AP25" s="80">
        <v>13.825128393091147</v>
      </c>
      <c r="AQ25" s="80">
        <v>2.4839166101611823</v>
      </c>
      <c r="AR25" s="80">
        <v>0.49</v>
      </c>
      <c r="AS25" s="80">
        <v>0</v>
      </c>
      <c r="AT25" s="80">
        <v>2.8477732098145916</v>
      </c>
    </row>
    <row r="26" spans="1:46" s="76" customFormat="1" x14ac:dyDescent="0.2">
      <c r="A26" s="79" t="s">
        <v>774</v>
      </c>
      <c r="B26" s="79" t="s">
        <v>768</v>
      </c>
      <c r="C26" s="79" t="s">
        <v>770</v>
      </c>
      <c r="D26" s="79" t="s">
        <v>692</v>
      </c>
      <c r="E26" s="79" t="s">
        <v>828</v>
      </c>
      <c r="F26" s="79">
        <v>1995</v>
      </c>
      <c r="G26" s="79">
        <v>312</v>
      </c>
      <c r="H26" s="79">
        <v>5</v>
      </c>
      <c r="I26" s="79">
        <v>20</v>
      </c>
      <c r="J26" s="79">
        <v>24</v>
      </c>
      <c r="K26" s="79">
        <v>56</v>
      </c>
      <c r="L26" s="79">
        <v>62</v>
      </c>
      <c r="M26" s="79">
        <v>62</v>
      </c>
      <c r="N26" s="79">
        <v>73</v>
      </c>
      <c r="O26" s="79">
        <v>115</v>
      </c>
      <c r="P26" s="79">
        <v>118</v>
      </c>
      <c r="Q26" s="79">
        <v>124</v>
      </c>
      <c r="R26" s="80">
        <v>21.047557840616975</v>
      </c>
      <c r="S26" s="80">
        <v>6.037364969123816</v>
      </c>
      <c r="T26" s="72">
        <v>702.46785097254758</v>
      </c>
      <c r="U26" s="72">
        <v>2149.089128643574</v>
      </c>
      <c r="V26" s="72">
        <v>1223.4462321338062</v>
      </c>
      <c r="W26" s="80">
        <v>0.56928594078978056</v>
      </c>
      <c r="X26" s="79">
        <v>138.45000000000005</v>
      </c>
      <c r="Y26" s="79">
        <v>13</v>
      </c>
      <c r="Z26" s="79">
        <v>362.65717716259303</v>
      </c>
      <c r="AA26" s="79">
        <v>6</v>
      </c>
      <c r="AB26" s="79">
        <v>115.77196447651039</v>
      </c>
      <c r="AC26" s="79">
        <v>0</v>
      </c>
      <c r="AD26" s="79">
        <v>75.592268681286853</v>
      </c>
      <c r="AE26" s="79">
        <v>320.73262197116247</v>
      </c>
      <c r="AF26" s="79">
        <v>0</v>
      </c>
      <c r="AG26" s="79">
        <v>396.32489065244931</v>
      </c>
      <c r="AH26" s="80">
        <v>0.1907330792409036</v>
      </c>
      <c r="AI26" s="80">
        <v>2.9388120056550671</v>
      </c>
      <c r="AJ26" s="80">
        <v>2.8635423267593301</v>
      </c>
      <c r="AK26" s="80">
        <v>5.8023543324143976</v>
      </c>
      <c r="AL26" s="80">
        <v>13.457908553471874</v>
      </c>
      <c r="AM26" s="80">
        <v>19.260262885886263</v>
      </c>
      <c r="AN26" s="80">
        <v>5.6478333333333328</v>
      </c>
      <c r="AO26" s="80">
        <v>5.6</v>
      </c>
      <c r="AP26" s="80">
        <v>13.78595188440533</v>
      </c>
      <c r="AQ26" s="80">
        <v>2.5929038307886829</v>
      </c>
      <c r="AR26" s="80">
        <v>0.49</v>
      </c>
      <c r="AS26" s="80">
        <v>0</v>
      </c>
      <c r="AT26" s="80">
        <v>2.695952349755002</v>
      </c>
    </row>
    <row r="27" spans="1:46" s="76" customFormat="1" x14ac:dyDescent="0.2">
      <c r="A27" s="79" t="s">
        <v>774</v>
      </c>
      <c r="B27" s="79" t="s">
        <v>768</v>
      </c>
      <c r="C27" s="79" t="s">
        <v>770</v>
      </c>
      <c r="D27" s="79" t="s">
        <v>692</v>
      </c>
      <c r="E27" s="79" t="s">
        <v>828</v>
      </c>
      <c r="F27" s="79">
        <v>1996</v>
      </c>
      <c r="G27" s="79">
        <v>312</v>
      </c>
      <c r="H27" s="79">
        <v>5</v>
      </c>
      <c r="I27" s="79">
        <v>21</v>
      </c>
      <c r="J27" s="79">
        <v>25</v>
      </c>
      <c r="K27" s="79">
        <v>58</v>
      </c>
      <c r="L27" s="79">
        <v>65</v>
      </c>
      <c r="M27" s="79">
        <v>65</v>
      </c>
      <c r="N27" s="79">
        <v>78</v>
      </c>
      <c r="O27" s="79">
        <v>122</v>
      </c>
      <c r="P27" s="79">
        <v>125</v>
      </c>
      <c r="Q27" s="79">
        <v>130</v>
      </c>
      <c r="R27" s="80">
        <v>20.686375321336762</v>
      </c>
      <c r="S27" s="80">
        <v>5.7393846401932347</v>
      </c>
      <c r="T27" s="72">
        <v>595.94498794423225</v>
      </c>
      <c r="U27" s="72">
        <v>1974.1105401800019</v>
      </c>
      <c r="V27" s="72">
        <v>1123.904001319602</v>
      </c>
      <c r="W27" s="80">
        <v>0.56932171362800477</v>
      </c>
      <c r="X27" s="79">
        <v>138.45000000000005</v>
      </c>
      <c r="Y27" s="79">
        <v>33.799999999999997</v>
      </c>
      <c r="Z27" s="79">
        <v>299.61197652250235</v>
      </c>
      <c r="AA27" s="79">
        <v>5</v>
      </c>
      <c r="AB27" s="79">
        <v>90.368106793323136</v>
      </c>
      <c r="AC27" s="79">
        <v>0</v>
      </c>
      <c r="AD27" s="79">
        <v>72.9887598003546</v>
      </c>
      <c r="AE27" s="79">
        <v>306.91117405008492</v>
      </c>
      <c r="AF27" s="79">
        <v>0</v>
      </c>
      <c r="AG27" s="79">
        <v>379.89993385043954</v>
      </c>
      <c r="AH27" s="80">
        <v>0.19212627161926904</v>
      </c>
      <c r="AI27" s="80">
        <v>2.542938247176818</v>
      </c>
      <c r="AJ27" s="80">
        <v>2.3806682065735898</v>
      </c>
      <c r="AK27" s="80">
        <v>4.9236064537504074</v>
      </c>
      <c r="AL27" s="80">
        <v>12.362944014515623</v>
      </c>
      <c r="AM27" s="80">
        <v>17.286550468266032</v>
      </c>
      <c r="AN27" s="80">
        <v>5.6478333333333328</v>
      </c>
      <c r="AO27" s="80">
        <v>5.6</v>
      </c>
      <c r="AP27" s="80">
        <v>14.176506372416371</v>
      </c>
      <c r="AQ27" s="80">
        <v>5.2396618050221679</v>
      </c>
      <c r="AR27" s="80">
        <v>0.49</v>
      </c>
      <c r="AS27" s="80">
        <v>0</v>
      </c>
      <c r="AT27" s="80">
        <v>2.4134705014556008</v>
      </c>
    </row>
    <row r="28" spans="1:46" s="76" customFormat="1" x14ac:dyDescent="0.2">
      <c r="A28" s="79" t="s">
        <v>774</v>
      </c>
      <c r="B28" s="79" t="s">
        <v>768</v>
      </c>
      <c r="C28" s="79" t="s">
        <v>770</v>
      </c>
      <c r="D28" s="79" t="s">
        <v>692</v>
      </c>
      <c r="E28" s="79" t="s">
        <v>828</v>
      </c>
      <c r="F28" s="79">
        <v>1997</v>
      </c>
      <c r="G28" s="79">
        <v>312</v>
      </c>
      <c r="H28" s="79">
        <v>5</v>
      </c>
      <c r="I28" s="79">
        <v>18</v>
      </c>
      <c r="J28" s="79">
        <v>22</v>
      </c>
      <c r="K28" s="79">
        <v>50</v>
      </c>
      <c r="L28" s="79">
        <v>56</v>
      </c>
      <c r="M28" s="79">
        <v>56</v>
      </c>
      <c r="N28" s="79">
        <v>69</v>
      </c>
      <c r="O28" s="79">
        <v>110</v>
      </c>
      <c r="P28" s="79">
        <v>113</v>
      </c>
      <c r="Q28" s="79">
        <v>118</v>
      </c>
      <c r="R28" s="80">
        <v>21.362467866323907</v>
      </c>
      <c r="S28" s="80">
        <v>6.3040163231631574</v>
      </c>
      <c r="T28" s="72">
        <v>625.14573683184074</v>
      </c>
      <c r="U28" s="72">
        <v>2053.3341651444775</v>
      </c>
      <c r="V28" s="72">
        <v>1139.0829093039263</v>
      </c>
      <c r="W28" s="80">
        <v>0.55474794268389238</v>
      </c>
      <c r="X28" s="79">
        <v>138.45000000000005</v>
      </c>
      <c r="Y28" s="79">
        <v>108.80000000000001</v>
      </c>
      <c r="Z28" s="79">
        <v>236.93247772336844</v>
      </c>
      <c r="AA28" s="79">
        <v>4</v>
      </c>
      <c r="AB28" s="79">
        <v>96.383117112935835</v>
      </c>
      <c r="AC28" s="79">
        <v>0</v>
      </c>
      <c r="AD28" s="79">
        <v>91.250706385414944</v>
      </c>
      <c r="AE28" s="79">
        <v>287.54031358220192</v>
      </c>
      <c r="AF28" s="79">
        <v>7.3672682344857208</v>
      </c>
      <c r="AG28" s="79">
        <v>378.79101996761688</v>
      </c>
      <c r="AH28" s="80">
        <v>0.24089986078396852</v>
      </c>
      <c r="AI28" s="80">
        <v>2.873151510339536</v>
      </c>
      <c r="AJ28" s="80">
        <v>2.5399154239428592</v>
      </c>
      <c r="AK28" s="80">
        <v>5.4130669342823952</v>
      </c>
      <c r="AL28" s="80">
        <v>12.529912002343186</v>
      </c>
      <c r="AM28" s="80">
        <v>17.942978936625583</v>
      </c>
      <c r="AN28" s="80">
        <v>5.6478333333333328</v>
      </c>
      <c r="AO28" s="80">
        <v>5.6</v>
      </c>
      <c r="AP28" s="80">
        <v>13.543152334587139</v>
      </c>
      <c r="AQ28" s="80">
        <v>4.2850449956201349</v>
      </c>
      <c r="AR28" s="80">
        <v>0.49</v>
      </c>
      <c r="AS28" s="80">
        <v>6.1607170033435125E-2</v>
      </c>
      <c r="AT28" s="80">
        <v>2.0166959209001245</v>
      </c>
    </row>
    <row r="29" spans="1:46" s="76" customFormat="1" x14ac:dyDescent="0.2">
      <c r="A29" s="79" t="s">
        <v>774</v>
      </c>
      <c r="B29" s="79" t="s">
        <v>768</v>
      </c>
      <c r="C29" s="79" t="s">
        <v>770</v>
      </c>
      <c r="D29" s="79" t="s">
        <v>692</v>
      </c>
      <c r="E29" s="79" t="s">
        <v>828</v>
      </c>
      <c r="F29" s="79">
        <v>1998</v>
      </c>
      <c r="G29" s="79">
        <v>312</v>
      </c>
      <c r="H29" s="79">
        <v>6</v>
      </c>
      <c r="I29" s="79">
        <v>23</v>
      </c>
      <c r="J29" s="79">
        <v>27</v>
      </c>
      <c r="K29" s="79">
        <v>66</v>
      </c>
      <c r="L29" s="79">
        <v>73</v>
      </c>
      <c r="M29" s="79">
        <v>73</v>
      </c>
      <c r="N29" s="79">
        <v>86</v>
      </c>
      <c r="O29" s="79">
        <v>126</v>
      </c>
      <c r="P29" s="79">
        <v>129</v>
      </c>
      <c r="Q29" s="79">
        <v>134</v>
      </c>
      <c r="R29" s="80">
        <v>20.082262210796916</v>
      </c>
      <c r="S29" s="80">
        <v>5.3144529887139047</v>
      </c>
      <c r="T29" s="72">
        <v>583.20164614318014</v>
      </c>
      <c r="U29" s="72">
        <v>2177.3120037405115</v>
      </c>
      <c r="V29" s="72">
        <v>1259.5049465481179</v>
      </c>
      <c r="W29" s="80">
        <v>0.57846782574094757</v>
      </c>
      <c r="X29" s="79">
        <v>138.45000000000005</v>
      </c>
      <c r="Y29" s="79">
        <v>16.399999999999999</v>
      </c>
      <c r="Z29" s="79">
        <v>430.40245489769143</v>
      </c>
      <c r="AA29" s="79">
        <v>7</v>
      </c>
      <c r="AB29" s="79">
        <v>136.84394642532811</v>
      </c>
      <c r="AC29" s="79">
        <v>0</v>
      </c>
      <c r="AD29" s="79">
        <v>80.410265096893028</v>
      </c>
      <c r="AE29" s="79">
        <v>366.36321163368643</v>
      </c>
      <c r="AF29" s="79">
        <v>0</v>
      </c>
      <c r="AG29" s="79">
        <v>446.77347673057943</v>
      </c>
      <c r="AH29" s="80">
        <v>0.1799799394662453</v>
      </c>
      <c r="AI29" s="80">
        <v>2.4476074426713965</v>
      </c>
      <c r="AJ29" s="80">
        <v>2.7711023916307664</v>
      </c>
      <c r="AK29" s="80">
        <v>5.218709834302163</v>
      </c>
      <c r="AL29" s="80">
        <v>13.854554412029296</v>
      </c>
      <c r="AM29" s="80">
        <v>19.073264246331458</v>
      </c>
      <c r="AN29" s="80">
        <v>5.6478333333333328</v>
      </c>
      <c r="AO29" s="80">
        <v>5.6</v>
      </c>
      <c r="AP29" s="80">
        <v>13.130758363467271</v>
      </c>
      <c r="AQ29" s="80">
        <v>2.1370402326910787</v>
      </c>
      <c r="AR29" s="80">
        <v>0.49</v>
      </c>
      <c r="AS29" s="80">
        <v>0</v>
      </c>
      <c r="AT29" s="80">
        <v>2.6836198399828914</v>
      </c>
    </row>
    <row r="30" spans="1:46" s="76" customFormat="1" x14ac:dyDescent="0.2">
      <c r="A30" s="79" t="s">
        <v>774</v>
      </c>
      <c r="B30" s="79" t="s">
        <v>768</v>
      </c>
      <c r="C30" s="79" t="s">
        <v>770</v>
      </c>
      <c r="D30" s="79" t="s">
        <v>692</v>
      </c>
      <c r="E30" s="79" t="s">
        <v>828</v>
      </c>
      <c r="F30" s="79">
        <v>1999</v>
      </c>
      <c r="G30" s="79">
        <v>312</v>
      </c>
      <c r="H30" s="79">
        <v>6</v>
      </c>
      <c r="I30" s="79">
        <v>25</v>
      </c>
      <c r="J30" s="79">
        <v>29</v>
      </c>
      <c r="K30" s="79">
        <v>66</v>
      </c>
      <c r="L30" s="79">
        <v>71</v>
      </c>
      <c r="M30" s="79">
        <v>71</v>
      </c>
      <c r="N30" s="79">
        <v>84</v>
      </c>
      <c r="O30" s="79">
        <v>126</v>
      </c>
      <c r="P30" s="79">
        <v>129</v>
      </c>
      <c r="Q30" s="79">
        <v>135</v>
      </c>
      <c r="R30" s="80">
        <v>20.196658097686385</v>
      </c>
      <c r="S30" s="80">
        <v>5.336295233194182</v>
      </c>
      <c r="T30" s="72">
        <v>561.94294338110581</v>
      </c>
      <c r="U30" s="72">
        <v>2054.7887321251746</v>
      </c>
      <c r="V30" s="72">
        <v>1174.6342074357326</v>
      </c>
      <c r="W30" s="80">
        <v>0.57165692187940531</v>
      </c>
      <c r="X30" s="79">
        <v>138.45000000000005</v>
      </c>
      <c r="Y30" s="79">
        <v>57.800000000000004</v>
      </c>
      <c r="Z30" s="79">
        <v>365.92887104961778</v>
      </c>
      <c r="AA30" s="79">
        <v>6</v>
      </c>
      <c r="AB30" s="79">
        <v>123.9095804243358</v>
      </c>
      <c r="AC30" s="79">
        <v>0</v>
      </c>
      <c r="AD30" s="79">
        <v>68.777734753531163</v>
      </c>
      <c r="AE30" s="79">
        <v>367.81291031775288</v>
      </c>
      <c r="AF30" s="79">
        <v>0</v>
      </c>
      <c r="AG30" s="79">
        <v>436.59064507128403</v>
      </c>
      <c r="AH30" s="80">
        <v>0.1575336850540274</v>
      </c>
      <c r="AI30" s="80">
        <v>2.8999577241204224</v>
      </c>
      <c r="AJ30" s="80">
        <v>3.0093987802909363</v>
      </c>
      <c r="AK30" s="80">
        <v>5.9093565044113587</v>
      </c>
      <c r="AL30" s="80">
        <v>12.920976281793058</v>
      </c>
      <c r="AM30" s="80">
        <v>18.830332786204419</v>
      </c>
      <c r="AN30" s="80">
        <v>5.6478333333333328</v>
      </c>
      <c r="AO30" s="80">
        <v>5.6</v>
      </c>
      <c r="AP30" s="80">
        <v>13.200702803093806</v>
      </c>
      <c r="AQ30" s="80">
        <v>2.3166354455828526</v>
      </c>
      <c r="AR30" s="80">
        <v>0.49</v>
      </c>
      <c r="AS30" s="80">
        <v>0</v>
      </c>
      <c r="AT30" s="80">
        <v>2.8168970440592895</v>
      </c>
    </row>
    <row r="31" spans="1:46" s="76" customFormat="1" x14ac:dyDescent="0.2">
      <c r="A31" s="79"/>
      <c r="B31" s="7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80"/>
      <c r="S31" s="80"/>
      <c r="T31" s="72"/>
      <c r="U31" s="72"/>
      <c r="V31" s="72"/>
      <c r="W31" s="80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</row>
    <row r="32" spans="1:46" s="76" customFormat="1" x14ac:dyDescent="0.2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80"/>
      <c r="S32" s="80"/>
      <c r="T32" s="72"/>
      <c r="U32" s="72"/>
      <c r="V32" s="72"/>
      <c r="W32" s="80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</row>
    <row r="33" spans="1:46" s="76" customFormat="1" x14ac:dyDescent="0.2">
      <c r="A33" s="79"/>
      <c r="B33" s="79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80"/>
      <c r="S33" s="80"/>
      <c r="T33" s="72"/>
      <c r="U33" s="72"/>
      <c r="V33" s="72"/>
      <c r="W33" s="80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</row>
    <row r="34" spans="1:46" s="76" customFormat="1" x14ac:dyDescent="0.2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N34" s="79"/>
      <c r="O34" s="79"/>
      <c r="P34" s="79"/>
      <c r="Q34" s="79"/>
      <c r="R34" s="80"/>
      <c r="S34" s="80"/>
      <c r="T34" s="72"/>
      <c r="U34" s="72"/>
      <c r="V34" s="72"/>
      <c r="W34" s="80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</row>
    <row r="35" spans="1:46" s="76" customFormat="1" x14ac:dyDescent="0.2">
      <c r="A35" s="79"/>
      <c r="B35" s="79"/>
      <c r="C35" s="79"/>
      <c r="D35" s="79"/>
      <c r="E35" s="79"/>
      <c r="F35" s="79"/>
      <c r="G35" s="79"/>
      <c r="H35" s="79"/>
      <c r="I35" s="79"/>
      <c r="J35" s="79"/>
      <c r="K35" s="79"/>
      <c r="L35" s="79"/>
      <c r="N35" s="79"/>
      <c r="O35" s="79"/>
      <c r="P35" s="79"/>
      <c r="Q35" s="79"/>
      <c r="R35" s="80"/>
      <c r="S35" s="80"/>
      <c r="T35" s="72"/>
      <c r="U35" s="72"/>
      <c r="V35" s="72"/>
      <c r="W35" s="80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</row>
    <row r="36" spans="1:46" s="76" customFormat="1" x14ac:dyDescent="0.2">
      <c r="A36" s="79"/>
      <c r="B36" s="79"/>
      <c r="C36" s="79"/>
      <c r="D36" s="79"/>
      <c r="E36" s="79"/>
      <c r="F36" s="79"/>
      <c r="G36" s="79"/>
      <c r="H36" s="79"/>
      <c r="I36" s="79"/>
      <c r="J36" s="79"/>
      <c r="K36" s="79"/>
      <c r="L36" s="79"/>
      <c r="N36" s="79"/>
      <c r="O36" s="79"/>
      <c r="P36" s="79"/>
      <c r="Q36" s="79"/>
      <c r="R36" s="80"/>
      <c r="S36" s="80"/>
      <c r="T36" s="72"/>
      <c r="U36" s="72"/>
      <c r="V36" s="72"/>
      <c r="W36" s="80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</row>
    <row r="37" spans="1:46" s="76" customFormat="1" x14ac:dyDescent="0.2">
      <c r="A37" s="79"/>
      <c r="B37" s="79"/>
      <c r="C37" s="79"/>
      <c r="D37" s="79"/>
      <c r="E37" s="79"/>
      <c r="F37" s="79"/>
      <c r="G37" s="79"/>
      <c r="H37" s="79"/>
      <c r="I37" s="79"/>
      <c r="J37" s="79"/>
      <c r="K37" s="79"/>
      <c r="L37" s="79"/>
      <c r="N37" s="79"/>
      <c r="O37" s="79"/>
      <c r="P37" s="79"/>
      <c r="Q37" s="79"/>
      <c r="R37" s="80"/>
      <c r="S37" s="80"/>
      <c r="T37" s="72"/>
      <c r="U37" s="72"/>
      <c r="V37" s="72"/>
      <c r="W37" s="80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</row>
    <row r="38" spans="1:46" s="76" customFormat="1" x14ac:dyDescent="0.2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N38" s="79"/>
      <c r="O38" s="79"/>
      <c r="P38" s="79"/>
      <c r="Q38" s="79"/>
      <c r="R38" s="80"/>
      <c r="S38" s="80"/>
      <c r="T38" s="72"/>
      <c r="U38" s="72"/>
      <c r="V38" s="72"/>
      <c r="W38" s="80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</row>
    <row r="39" spans="1:46" s="76" customFormat="1" x14ac:dyDescent="0.2">
      <c r="A39" s="79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80"/>
      <c r="S39" s="80"/>
      <c r="T39" s="72"/>
      <c r="U39" s="72"/>
      <c r="V39" s="72"/>
      <c r="W39" s="80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</row>
    <row r="40" spans="1:46" s="76" customFormat="1" x14ac:dyDescent="0.2">
      <c r="A40" s="79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80"/>
      <c r="S40" s="80"/>
      <c r="T40" s="72"/>
      <c r="U40" s="72"/>
      <c r="V40" s="72"/>
      <c r="W40" s="80"/>
      <c r="X40" s="79"/>
      <c r="Y40" s="79"/>
      <c r="Z40" s="79"/>
      <c r="AA40" s="79"/>
      <c r="AB40" s="79"/>
      <c r="AC40" s="79"/>
      <c r="AD40" s="79"/>
      <c r="AE40" s="79"/>
      <c r="AF40" s="79"/>
      <c r="AG40" s="79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</row>
    <row r="41" spans="1:46" s="76" customFormat="1" x14ac:dyDescent="0.2">
      <c r="A41" s="79"/>
      <c r="B41" s="79"/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80"/>
      <c r="S41" s="80"/>
      <c r="T41" s="72"/>
      <c r="U41" s="72"/>
      <c r="V41" s="72"/>
      <c r="W41" s="80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</row>
    <row r="42" spans="1:46" s="76" customFormat="1" x14ac:dyDescent="0.2">
      <c r="A42" s="79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80"/>
      <c r="S42" s="80"/>
      <c r="T42" s="72"/>
      <c r="U42" s="72"/>
      <c r="V42" s="72"/>
      <c r="W42" s="80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</row>
    <row r="43" spans="1:46" s="76" customFormat="1" x14ac:dyDescent="0.2">
      <c r="A43" s="79"/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80"/>
      <c r="S43" s="80"/>
      <c r="T43" s="72"/>
      <c r="U43" s="72"/>
      <c r="V43" s="72"/>
      <c r="W43" s="80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</row>
    <row r="44" spans="1:46" s="76" customFormat="1" x14ac:dyDescent="0.2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80"/>
      <c r="S44" s="80"/>
      <c r="T44" s="72"/>
      <c r="U44" s="72"/>
      <c r="V44" s="72"/>
      <c r="W44" s="80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</row>
    <row r="45" spans="1:46" s="76" customFormat="1" x14ac:dyDescent="0.2">
      <c r="A45" s="79"/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80"/>
      <c r="S45" s="80"/>
      <c r="T45" s="72"/>
      <c r="U45" s="72"/>
      <c r="V45" s="72"/>
      <c r="W45" s="80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</row>
    <row r="46" spans="1:46" s="76" customFormat="1" x14ac:dyDescent="0.2">
      <c r="A46" s="79"/>
      <c r="B46" s="7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80"/>
      <c r="S46" s="80"/>
      <c r="T46" s="72"/>
      <c r="U46" s="72"/>
      <c r="V46" s="72"/>
      <c r="W46" s="80"/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</row>
    <row r="47" spans="1:46" s="76" customFormat="1" x14ac:dyDescent="0.2">
      <c r="A47" s="79"/>
      <c r="B47" s="79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80"/>
      <c r="S47" s="80"/>
      <c r="T47" s="72"/>
      <c r="U47" s="72"/>
      <c r="V47" s="72"/>
      <c r="W47" s="80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</row>
    <row r="48" spans="1:46" s="76" customFormat="1" x14ac:dyDescent="0.2">
      <c r="A48" s="79"/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N48" s="79"/>
      <c r="O48" s="79"/>
      <c r="P48" s="79"/>
      <c r="Q48" s="79"/>
      <c r="R48" s="80"/>
      <c r="S48" s="80"/>
      <c r="T48" s="72"/>
      <c r="U48" s="72"/>
      <c r="V48" s="72"/>
      <c r="W48" s="80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</row>
    <row r="49" spans="1:46" s="76" customFormat="1" x14ac:dyDescent="0.2">
      <c r="A49" s="79"/>
      <c r="B49" s="79"/>
      <c r="C49" s="79"/>
      <c r="D49" s="79"/>
      <c r="E49" s="79"/>
      <c r="F49" s="79"/>
      <c r="G49" s="79"/>
      <c r="H49" s="79"/>
      <c r="I49" s="79"/>
      <c r="J49" s="79"/>
      <c r="K49" s="79"/>
      <c r="L49" s="79"/>
      <c r="N49" s="79"/>
      <c r="O49" s="79"/>
      <c r="P49" s="79"/>
      <c r="Q49" s="79"/>
      <c r="R49" s="80"/>
      <c r="S49" s="80"/>
      <c r="T49" s="72"/>
      <c r="U49" s="72"/>
      <c r="V49" s="72"/>
      <c r="W49" s="80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</row>
    <row r="50" spans="1:46" s="76" customFormat="1" x14ac:dyDescent="0.2">
      <c r="A50" s="79"/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N50" s="79"/>
      <c r="O50" s="79"/>
      <c r="P50" s="79"/>
      <c r="Q50" s="79"/>
      <c r="R50" s="80"/>
      <c r="S50" s="80"/>
      <c r="T50" s="72"/>
      <c r="U50" s="72"/>
      <c r="V50" s="72"/>
      <c r="W50" s="80"/>
      <c r="X50" s="79"/>
      <c r="Y50" s="79"/>
      <c r="Z50" s="79"/>
      <c r="AA50" s="79"/>
      <c r="AB50" s="79"/>
      <c r="AC50" s="79"/>
      <c r="AD50" s="79"/>
      <c r="AE50" s="79"/>
      <c r="AF50" s="79"/>
      <c r="AG50" s="79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</row>
    <row r="51" spans="1:46" s="76" customFormat="1" x14ac:dyDescent="0.2">
      <c r="A51" s="79"/>
      <c r="B51" s="79"/>
      <c r="C51" s="79"/>
      <c r="D51" s="79"/>
      <c r="E51" s="79"/>
      <c r="F51" s="79"/>
      <c r="G51" s="79"/>
      <c r="H51" s="79"/>
      <c r="I51" s="79"/>
      <c r="J51" s="79"/>
      <c r="K51" s="79"/>
      <c r="L51" s="79"/>
      <c r="N51" s="79"/>
      <c r="O51" s="79"/>
      <c r="P51" s="79"/>
      <c r="Q51" s="79"/>
      <c r="R51" s="80"/>
      <c r="S51" s="80"/>
      <c r="T51" s="72"/>
      <c r="U51" s="72"/>
      <c r="V51" s="72"/>
      <c r="W51" s="80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</row>
    <row r="52" spans="1:46" s="76" customFormat="1" x14ac:dyDescent="0.2">
      <c r="A52" s="79"/>
      <c r="B52" s="79"/>
      <c r="C52" s="79"/>
      <c r="D52" s="79"/>
      <c r="E52" s="79"/>
      <c r="F52" s="79"/>
      <c r="G52" s="79"/>
      <c r="H52" s="79"/>
      <c r="I52" s="79"/>
      <c r="J52" s="79"/>
      <c r="K52" s="79"/>
      <c r="L52" s="79"/>
      <c r="N52" s="79"/>
      <c r="O52" s="79"/>
      <c r="P52" s="79"/>
      <c r="Q52" s="79"/>
      <c r="R52" s="80"/>
      <c r="S52" s="80"/>
      <c r="T52" s="72"/>
      <c r="U52" s="72"/>
      <c r="V52" s="72"/>
      <c r="W52" s="80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</row>
    <row r="53" spans="1:46" s="76" customFormat="1" x14ac:dyDescent="0.2">
      <c r="A53" s="79"/>
      <c r="B53" s="79"/>
      <c r="C53" s="79"/>
      <c r="D53" s="79"/>
      <c r="E53" s="79"/>
      <c r="F53" s="79"/>
      <c r="G53" s="79"/>
      <c r="H53" s="79"/>
      <c r="I53" s="79"/>
      <c r="J53" s="79"/>
      <c r="K53" s="79"/>
      <c r="L53" s="79"/>
      <c r="N53" s="79"/>
      <c r="O53" s="79"/>
      <c r="P53" s="79"/>
      <c r="Q53" s="79"/>
      <c r="R53" s="80"/>
      <c r="S53" s="80"/>
      <c r="T53" s="72"/>
      <c r="U53" s="72"/>
      <c r="V53" s="72"/>
      <c r="W53" s="80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</row>
    <row r="54" spans="1:46" s="76" customFormat="1" x14ac:dyDescent="0.2">
      <c r="A54" s="79"/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N54" s="79"/>
      <c r="O54" s="79"/>
      <c r="P54" s="79"/>
      <c r="Q54" s="79"/>
      <c r="R54" s="80"/>
      <c r="S54" s="80"/>
      <c r="T54" s="72"/>
      <c r="U54" s="72"/>
      <c r="V54" s="72"/>
      <c r="W54" s="80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</row>
    <row r="55" spans="1:46" s="76" customFormat="1" x14ac:dyDescent="0.2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N55" s="79"/>
      <c r="O55" s="79"/>
      <c r="P55" s="79"/>
      <c r="Q55" s="79"/>
      <c r="R55" s="80"/>
      <c r="S55" s="80"/>
      <c r="T55" s="72"/>
      <c r="U55" s="72"/>
      <c r="V55" s="72"/>
      <c r="W55" s="80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</row>
    <row r="56" spans="1:46" s="76" customFormat="1" x14ac:dyDescent="0.2">
      <c r="A56" s="79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N56" s="79"/>
      <c r="O56" s="79"/>
      <c r="P56" s="79"/>
      <c r="Q56" s="79"/>
      <c r="R56" s="80"/>
      <c r="S56" s="80"/>
      <c r="T56" s="72"/>
      <c r="U56" s="72"/>
      <c r="V56" s="72"/>
      <c r="W56" s="80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</row>
    <row r="57" spans="1:46" s="76" customFormat="1" x14ac:dyDescent="0.2">
      <c r="A57" s="79"/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N57" s="79"/>
      <c r="O57" s="79"/>
      <c r="P57" s="79"/>
      <c r="Q57" s="79"/>
      <c r="R57" s="80"/>
      <c r="S57" s="80"/>
      <c r="T57" s="72"/>
      <c r="U57" s="72"/>
      <c r="V57" s="72"/>
      <c r="W57" s="80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</row>
    <row r="58" spans="1:46" s="76" customFormat="1" x14ac:dyDescent="0.2">
      <c r="A58" s="79"/>
      <c r="B58" s="79"/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80"/>
      <c r="S58" s="80"/>
      <c r="T58" s="72"/>
      <c r="U58" s="72"/>
      <c r="V58" s="72"/>
      <c r="W58" s="80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</row>
    <row r="59" spans="1:46" s="76" customFormat="1" x14ac:dyDescent="0.2">
      <c r="A59" s="79"/>
      <c r="B59" s="79"/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80"/>
      <c r="S59" s="80"/>
      <c r="T59" s="72"/>
      <c r="U59" s="72"/>
      <c r="V59" s="72"/>
      <c r="W59" s="80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</row>
    <row r="60" spans="1:46" s="76" customFormat="1" x14ac:dyDescent="0.2">
      <c r="A60" s="79"/>
      <c r="B60" s="79"/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80"/>
      <c r="S60" s="80"/>
      <c r="T60" s="72"/>
      <c r="U60" s="72"/>
      <c r="V60" s="72"/>
      <c r="W60" s="80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</row>
    <row r="61" spans="1:46" s="76" customFormat="1" x14ac:dyDescent="0.2">
      <c r="A61" s="79"/>
      <c r="B61" s="79"/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80"/>
      <c r="S61" s="80"/>
      <c r="T61" s="72"/>
      <c r="U61" s="72"/>
      <c r="V61" s="72"/>
      <c r="W61" s="80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</row>
    <row r="62" spans="1:46" s="76" customFormat="1" x14ac:dyDescent="0.2">
      <c r="A62" s="79"/>
      <c r="B62" s="79"/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80"/>
      <c r="S62" s="80"/>
      <c r="T62" s="72"/>
      <c r="U62" s="72"/>
      <c r="V62" s="72"/>
      <c r="W62" s="80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A5F55-89D4-43C8-9B36-121FFDC70DDE}">
  <sheetPr codeName="Sheet2"/>
  <dimension ref="A1:K28"/>
  <sheetViews>
    <sheetView zoomScale="90" zoomScaleNormal="90" workbookViewId="0">
      <selection activeCell="G16" sqref="G16"/>
    </sheetView>
  </sheetViews>
  <sheetFormatPr defaultRowHeight="12.75" x14ac:dyDescent="0.2"/>
  <cols>
    <col min="1" max="3" width="15.7109375" style="3" customWidth="1"/>
    <col min="4" max="4" width="49.5703125" style="3" customWidth="1"/>
    <col min="5" max="5" width="11" style="3" customWidth="1"/>
    <col min="6" max="6" width="10" style="3" customWidth="1"/>
    <col min="7" max="7" width="10.7109375" customWidth="1"/>
    <col min="8" max="8" width="14.5703125" customWidth="1"/>
    <col min="9" max="9" width="18.5703125" customWidth="1"/>
  </cols>
  <sheetData>
    <row r="1" spans="1:11" s="10" customFormat="1" ht="12.75" customHeight="1" x14ac:dyDescent="0.35">
      <c r="A1" s="71"/>
      <c r="B1" s="71"/>
      <c r="C1" s="71"/>
      <c r="D1" s="71"/>
      <c r="E1" s="71"/>
      <c r="F1" s="35"/>
    </row>
    <row r="4" spans="1:11" ht="13.5" thickBot="1" x14ac:dyDescent="0.25"/>
    <row r="5" spans="1:11" s="10" customFormat="1" x14ac:dyDescent="0.2">
      <c r="A5" s="112" t="s">
        <v>703</v>
      </c>
      <c r="B5" s="113"/>
      <c r="C5" s="113"/>
      <c r="D5" s="113"/>
      <c r="E5" s="113"/>
      <c r="F5" s="113"/>
      <c r="G5" s="113"/>
      <c r="H5" s="113"/>
      <c r="I5" s="113"/>
      <c r="J5" s="114"/>
      <c r="K5" s="115"/>
    </row>
    <row r="6" spans="1:11" x14ac:dyDescent="0.2">
      <c r="A6" s="86" t="s">
        <v>675</v>
      </c>
      <c r="B6" s="45" t="s">
        <v>676</v>
      </c>
      <c r="C6" s="45" t="s">
        <v>677</v>
      </c>
      <c r="D6" s="45" t="s">
        <v>705</v>
      </c>
      <c r="E6" s="45" t="s">
        <v>830</v>
      </c>
      <c r="F6" s="45" t="s">
        <v>831</v>
      </c>
      <c r="G6" s="45" t="s">
        <v>832</v>
      </c>
      <c r="H6" s="45" t="s">
        <v>695</v>
      </c>
      <c r="I6" s="45" t="s">
        <v>678</v>
      </c>
      <c r="J6" s="50"/>
      <c r="K6" s="88"/>
    </row>
    <row r="7" spans="1:11" ht="13.5" thickBot="1" x14ac:dyDescent="0.25">
      <c r="A7" s="116" t="s">
        <v>103</v>
      </c>
      <c r="B7" s="99">
        <v>36.85</v>
      </c>
      <c r="C7" s="99">
        <v>0.63</v>
      </c>
      <c r="D7" s="117" t="s">
        <v>759</v>
      </c>
      <c r="E7" s="117">
        <v>0</v>
      </c>
      <c r="F7" s="117">
        <v>1</v>
      </c>
      <c r="G7" s="117">
        <v>350</v>
      </c>
      <c r="H7" s="117">
        <v>11</v>
      </c>
      <c r="I7" s="118" t="s">
        <v>679</v>
      </c>
      <c r="J7" s="100"/>
      <c r="K7" s="101"/>
    </row>
    <row r="8" spans="1:11" ht="13.5" thickBot="1" x14ac:dyDescent="0.25">
      <c r="G8" s="3"/>
      <c r="H8" s="3"/>
      <c r="I8" s="70"/>
    </row>
    <row r="9" spans="1:11" x14ac:dyDescent="0.2">
      <c r="A9" s="112" t="s">
        <v>703</v>
      </c>
      <c r="B9" s="113"/>
      <c r="C9" s="113"/>
      <c r="D9" s="113"/>
      <c r="E9" s="113"/>
      <c r="F9" s="113"/>
      <c r="G9" s="113"/>
      <c r="H9" s="113"/>
      <c r="I9" s="113"/>
      <c r="J9" s="114"/>
      <c r="K9" s="115"/>
    </row>
    <row r="10" spans="1:11" x14ac:dyDescent="0.2">
      <c r="A10" s="86" t="s">
        <v>675</v>
      </c>
      <c r="B10" s="45" t="s">
        <v>676</v>
      </c>
      <c r="C10" s="45" t="s">
        <v>677</v>
      </c>
      <c r="D10" s="45" t="s">
        <v>705</v>
      </c>
      <c r="E10" s="45" t="s">
        <v>830</v>
      </c>
      <c r="F10" s="45" t="s">
        <v>831</v>
      </c>
      <c r="G10" s="45" t="s">
        <v>832</v>
      </c>
      <c r="H10" s="45" t="s">
        <v>695</v>
      </c>
      <c r="I10" s="45" t="s">
        <v>678</v>
      </c>
      <c r="J10" s="50"/>
      <c r="K10" s="88"/>
    </row>
    <row r="11" spans="1:11" ht="13.5" thickBot="1" x14ac:dyDescent="0.25">
      <c r="A11" s="116" t="s">
        <v>763</v>
      </c>
      <c r="B11" s="99">
        <v>32.67</v>
      </c>
      <c r="C11" s="99">
        <v>0.75</v>
      </c>
      <c r="D11" s="117" t="s">
        <v>764</v>
      </c>
      <c r="E11" s="117">
        <v>0</v>
      </c>
      <c r="F11" s="117">
        <v>1</v>
      </c>
      <c r="G11" s="117">
        <v>350</v>
      </c>
      <c r="H11" s="117">
        <v>11</v>
      </c>
      <c r="I11" s="118" t="s">
        <v>765</v>
      </c>
      <c r="J11" s="100"/>
      <c r="K11" s="101"/>
    </row>
    <row r="12" spans="1:11" ht="13.5" thickBot="1" x14ac:dyDescent="0.25">
      <c r="G12" s="3"/>
      <c r="H12" s="3"/>
      <c r="I12" s="70"/>
    </row>
    <row r="13" spans="1:11" x14ac:dyDescent="0.2">
      <c r="A13" s="112" t="s">
        <v>703</v>
      </c>
      <c r="B13" s="113"/>
      <c r="C13" s="113"/>
      <c r="D13" s="113"/>
      <c r="E13" s="113"/>
      <c r="F13" s="113"/>
      <c r="G13" s="113"/>
      <c r="H13" s="113"/>
      <c r="I13" s="113"/>
      <c r="J13" s="114"/>
      <c r="K13" s="115"/>
    </row>
    <row r="14" spans="1:11" x14ac:dyDescent="0.2">
      <c r="A14" s="86" t="s">
        <v>675</v>
      </c>
      <c r="B14" s="45" t="s">
        <v>676</v>
      </c>
      <c r="C14" s="45" t="s">
        <v>677</v>
      </c>
      <c r="D14" s="45" t="s">
        <v>705</v>
      </c>
      <c r="E14" s="45" t="s">
        <v>830</v>
      </c>
      <c r="F14" s="45" t="s">
        <v>831</v>
      </c>
      <c r="G14" s="45" t="s">
        <v>832</v>
      </c>
      <c r="H14" s="45" t="s">
        <v>695</v>
      </c>
      <c r="I14" s="45" t="s">
        <v>678</v>
      </c>
      <c r="J14" s="50"/>
      <c r="K14" s="88"/>
    </row>
    <row r="15" spans="1:11" ht="13.5" thickBot="1" x14ac:dyDescent="0.25">
      <c r="A15" s="116" t="s">
        <v>768</v>
      </c>
      <c r="B15" s="99">
        <v>17.88</v>
      </c>
      <c r="C15" s="99">
        <v>0.75</v>
      </c>
      <c r="D15" s="117" t="s">
        <v>772</v>
      </c>
      <c r="E15" s="117">
        <v>0</v>
      </c>
      <c r="F15" s="117">
        <v>1</v>
      </c>
      <c r="G15" s="117">
        <v>350</v>
      </c>
      <c r="H15" s="117">
        <v>11</v>
      </c>
      <c r="I15" s="118" t="s">
        <v>773</v>
      </c>
      <c r="J15" s="100"/>
      <c r="K15" s="101"/>
    </row>
    <row r="16" spans="1:11" ht="13.5" thickBot="1" x14ac:dyDescent="0.25">
      <c r="G16" s="3"/>
      <c r="H16" s="3"/>
      <c r="I16" s="70"/>
    </row>
    <row r="17" spans="1:11" x14ac:dyDescent="0.2">
      <c r="A17" s="112" t="s">
        <v>703</v>
      </c>
      <c r="B17" s="113"/>
      <c r="C17" s="113"/>
      <c r="D17" s="113"/>
      <c r="E17" s="113"/>
      <c r="F17" s="113"/>
      <c r="G17" s="113"/>
      <c r="H17" s="113"/>
      <c r="I17" s="113"/>
      <c r="J17" s="114"/>
      <c r="K17" s="115"/>
    </row>
    <row r="18" spans="1:11" x14ac:dyDescent="0.2">
      <c r="A18" s="86" t="s">
        <v>675</v>
      </c>
      <c r="B18" s="45" t="s">
        <v>676</v>
      </c>
      <c r="C18" s="45" t="s">
        <v>677</v>
      </c>
      <c r="D18" s="45" t="s">
        <v>705</v>
      </c>
      <c r="E18" s="45" t="s">
        <v>830</v>
      </c>
      <c r="F18" s="45" t="s">
        <v>831</v>
      </c>
      <c r="G18" s="45" t="s">
        <v>832</v>
      </c>
      <c r="H18" s="45" t="s">
        <v>695</v>
      </c>
      <c r="I18" s="45" t="s">
        <v>678</v>
      </c>
      <c r="J18" s="50"/>
      <c r="K18" s="88"/>
    </row>
    <row r="19" spans="1:11" ht="13.5" thickBot="1" x14ac:dyDescent="0.25">
      <c r="A19" s="116"/>
      <c r="B19" s="99"/>
      <c r="C19" s="99"/>
      <c r="D19" s="117"/>
      <c r="E19" s="117">
        <v>0</v>
      </c>
      <c r="F19" s="117">
        <v>1</v>
      </c>
      <c r="G19" s="117">
        <v>350</v>
      </c>
      <c r="H19" s="117"/>
      <c r="I19" s="118"/>
      <c r="J19" s="100"/>
      <c r="K19" s="101"/>
    </row>
    <row r="20" spans="1:11" ht="13.5" thickBot="1" x14ac:dyDescent="0.25">
      <c r="G20" s="3"/>
      <c r="H20" s="3"/>
      <c r="I20" s="70"/>
    </row>
    <row r="21" spans="1:11" x14ac:dyDescent="0.2">
      <c r="A21" s="112" t="s">
        <v>703</v>
      </c>
      <c r="B21" s="113"/>
      <c r="C21" s="113"/>
      <c r="D21" s="113"/>
      <c r="E21" s="113"/>
      <c r="F21" s="113"/>
      <c r="G21" s="113"/>
      <c r="H21" s="113"/>
      <c r="I21" s="113"/>
      <c r="J21" s="114"/>
      <c r="K21" s="115"/>
    </row>
    <row r="22" spans="1:11" x14ac:dyDescent="0.2">
      <c r="A22" s="86" t="s">
        <v>675</v>
      </c>
      <c r="B22" s="45" t="s">
        <v>676</v>
      </c>
      <c r="C22" s="45" t="s">
        <v>677</v>
      </c>
      <c r="D22" s="45" t="s">
        <v>705</v>
      </c>
      <c r="E22" s="45" t="s">
        <v>830</v>
      </c>
      <c r="F22" s="45" t="s">
        <v>831</v>
      </c>
      <c r="G22" s="45" t="s">
        <v>832</v>
      </c>
      <c r="H22" s="45" t="s">
        <v>695</v>
      </c>
      <c r="I22" s="45" t="s">
        <v>678</v>
      </c>
      <c r="J22" s="50"/>
      <c r="K22" s="88"/>
    </row>
    <row r="23" spans="1:11" ht="13.5" thickBot="1" x14ac:dyDescent="0.25">
      <c r="A23" s="116"/>
      <c r="B23" s="99"/>
      <c r="C23" s="99"/>
      <c r="D23" s="117"/>
      <c r="E23" s="117">
        <v>0</v>
      </c>
      <c r="F23" s="117">
        <v>1</v>
      </c>
      <c r="G23" s="117">
        <v>350</v>
      </c>
      <c r="H23" s="117"/>
      <c r="I23" s="118"/>
      <c r="J23" s="100"/>
      <c r="K23" s="101"/>
    </row>
    <row r="24" spans="1:11" ht="13.5" thickBot="1" x14ac:dyDescent="0.25">
      <c r="A24" s="66"/>
      <c r="B24" s="66"/>
      <c r="C24" s="66"/>
      <c r="D24" s="66"/>
      <c r="E24" s="66"/>
      <c r="F24" s="66"/>
      <c r="G24" s="66"/>
      <c r="H24" s="66"/>
      <c r="I24" s="3"/>
    </row>
    <row r="25" spans="1:11" x14ac:dyDescent="0.2">
      <c r="A25" s="112" t="s">
        <v>703</v>
      </c>
      <c r="B25" s="113"/>
      <c r="C25" s="113"/>
      <c r="D25" s="113"/>
      <c r="E25" s="113"/>
      <c r="F25" s="113"/>
      <c r="G25" s="113"/>
      <c r="H25" s="113"/>
      <c r="I25" s="113"/>
      <c r="J25" s="114"/>
      <c r="K25" s="115"/>
    </row>
    <row r="26" spans="1:11" x14ac:dyDescent="0.2">
      <c r="A26" s="86" t="s">
        <v>675</v>
      </c>
      <c r="B26" s="45" t="s">
        <v>676</v>
      </c>
      <c r="C26" s="45" t="s">
        <v>677</v>
      </c>
      <c r="D26" s="45" t="s">
        <v>705</v>
      </c>
      <c r="E26" s="45" t="s">
        <v>830</v>
      </c>
      <c r="F26" s="45" t="s">
        <v>831</v>
      </c>
      <c r="G26" s="45" t="s">
        <v>832</v>
      </c>
      <c r="H26" s="45" t="s">
        <v>695</v>
      </c>
      <c r="I26" s="45" t="s">
        <v>678</v>
      </c>
      <c r="J26" s="50"/>
      <c r="K26" s="88"/>
    </row>
    <row r="27" spans="1:11" ht="13.5" thickBot="1" x14ac:dyDescent="0.25">
      <c r="A27" s="116"/>
      <c r="B27" s="99"/>
      <c r="C27" s="99"/>
      <c r="D27" s="117"/>
      <c r="E27" s="117">
        <v>0</v>
      </c>
      <c r="F27" s="117">
        <v>1</v>
      </c>
      <c r="G27" s="117">
        <v>350</v>
      </c>
      <c r="H27" s="117"/>
      <c r="I27" s="118"/>
      <c r="J27" s="100"/>
      <c r="K27" s="101"/>
    </row>
    <row r="28" spans="1:11" x14ac:dyDescent="0.2">
      <c r="A28" s="66"/>
      <c r="B28" s="66"/>
      <c r="C28" s="66"/>
      <c r="D28" s="66"/>
      <c r="E28" s="66"/>
    </row>
  </sheetData>
  <phoneticPr fontId="1" type="noConversion"/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0098F-6206-4CC7-9F16-A0BE2C77943B}">
  <sheetPr codeName="Sheet8"/>
  <dimension ref="A1:N275"/>
  <sheetViews>
    <sheetView zoomScale="80" zoomScaleNormal="80" workbookViewId="0">
      <pane ySplit="10" topLeftCell="A11" activePane="bottomLeft" state="frozen"/>
      <selection pane="bottomLeft" activeCell="A17" sqref="A17"/>
    </sheetView>
  </sheetViews>
  <sheetFormatPr defaultRowHeight="12.75" x14ac:dyDescent="0.2"/>
  <cols>
    <col min="1" max="1" width="24.42578125" customWidth="1"/>
    <col min="2" max="2" width="10.7109375" customWidth="1"/>
    <col min="3" max="3" width="11.85546875" customWidth="1"/>
    <col min="4" max="4" width="10.7109375" customWidth="1"/>
    <col min="5" max="5" width="27.85546875" customWidth="1"/>
    <col min="6" max="8" width="10.7109375" customWidth="1"/>
    <col min="10" max="10" width="25.28515625" customWidth="1"/>
    <col min="12" max="12" width="10.7109375" customWidth="1"/>
  </cols>
  <sheetData>
    <row r="1" spans="1:14" x14ac:dyDescent="0.2">
      <c r="A1" s="124" t="s">
        <v>108</v>
      </c>
      <c r="B1" s="125"/>
      <c r="C1" s="125"/>
      <c r="J1" s="126" t="s">
        <v>112</v>
      </c>
      <c r="K1" s="127" t="s">
        <v>91</v>
      </c>
      <c r="L1" s="127" t="s">
        <v>92</v>
      </c>
      <c r="M1" s="127" t="s">
        <v>93</v>
      </c>
    </row>
    <row r="2" spans="1:14" x14ac:dyDescent="0.2">
      <c r="A2" s="124" t="s">
        <v>109</v>
      </c>
      <c r="B2" s="125"/>
      <c r="C2" s="125"/>
      <c r="J2" s="128" t="s">
        <v>90</v>
      </c>
      <c r="K2" s="129">
        <v>10</v>
      </c>
      <c r="L2" s="129">
        <v>15</v>
      </c>
      <c r="M2" s="129">
        <v>25</v>
      </c>
    </row>
    <row r="3" spans="1:14" x14ac:dyDescent="0.2">
      <c r="A3" s="124" t="s">
        <v>110</v>
      </c>
      <c r="B3" s="125"/>
      <c r="C3" s="125"/>
      <c r="J3" s="128" t="s">
        <v>94</v>
      </c>
      <c r="K3" s="129">
        <v>2</v>
      </c>
      <c r="L3" s="129">
        <v>3</v>
      </c>
      <c r="M3" s="129">
        <v>5</v>
      </c>
    </row>
    <row r="4" spans="1:14" x14ac:dyDescent="0.2">
      <c r="A4" s="124" t="s">
        <v>719</v>
      </c>
      <c r="B4" s="125"/>
      <c r="C4" s="125"/>
      <c r="J4" s="128" t="s">
        <v>95</v>
      </c>
      <c r="K4" s="129">
        <v>4</v>
      </c>
      <c r="L4" s="129">
        <v>8</v>
      </c>
      <c r="M4" s="129">
        <v>15</v>
      </c>
    </row>
    <row r="5" spans="1:14" x14ac:dyDescent="0.2">
      <c r="A5" s="124"/>
      <c r="B5" s="125"/>
      <c r="C5" s="125"/>
      <c r="J5" s="128" t="s">
        <v>99</v>
      </c>
      <c r="K5" s="129">
        <v>1</v>
      </c>
      <c r="L5" s="129">
        <v>1</v>
      </c>
      <c r="M5" s="129">
        <v>2</v>
      </c>
    </row>
    <row r="6" spans="1:14" x14ac:dyDescent="0.2">
      <c r="A6" s="124" t="s">
        <v>111</v>
      </c>
      <c r="B6" s="125"/>
      <c r="C6" s="125"/>
      <c r="J6" s="128" t="s">
        <v>96</v>
      </c>
      <c r="K6" s="129">
        <v>2</v>
      </c>
      <c r="L6" s="129">
        <v>4</v>
      </c>
      <c r="M6" s="129">
        <v>10</v>
      </c>
    </row>
    <row r="7" spans="1:14" x14ac:dyDescent="0.2">
      <c r="A7" s="124" t="s">
        <v>652</v>
      </c>
      <c r="B7" s="125"/>
      <c r="C7" s="125"/>
      <c r="J7" s="128" t="s">
        <v>97</v>
      </c>
      <c r="K7" s="129">
        <v>0</v>
      </c>
      <c r="L7" s="129">
        <v>5</v>
      </c>
      <c r="M7" s="129">
        <v>1</v>
      </c>
    </row>
    <row r="8" spans="1:14" x14ac:dyDescent="0.2">
      <c r="J8" s="128" t="s">
        <v>98</v>
      </c>
      <c r="K8" s="129">
        <v>1</v>
      </c>
      <c r="L8" s="129">
        <v>2</v>
      </c>
      <c r="M8" s="129">
        <v>3</v>
      </c>
    </row>
    <row r="9" spans="1:14" x14ac:dyDescent="0.2">
      <c r="J9" s="130" t="s">
        <v>101</v>
      </c>
      <c r="K9" s="130"/>
      <c r="L9" s="130"/>
      <c r="M9" s="130"/>
    </row>
    <row r="10" spans="1:14" s="153" customFormat="1" x14ac:dyDescent="0.2"/>
    <row r="12" spans="1:14" ht="13.5" thickBot="1" x14ac:dyDescent="0.25">
      <c r="I12" s="14"/>
      <c r="J12" s="14"/>
      <c r="K12" s="14"/>
      <c r="L12" s="14"/>
      <c r="M12" s="14"/>
      <c r="N12" s="14"/>
    </row>
    <row r="13" spans="1:14" x14ac:dyDescent="0.2">
      <c r="A13" s="82" t="s">
        <v>680</v>
      </c>
      <c r="B13" s="84"/>
      <c r="C13" s="84"/>
      <c r="D13" s="84"/>
      <c r="E13" s="84"/>
      <c r="F13" s="84"/>
      <c r="G13" s="85"/>
      <c r="I13" s="14"/>
      <c r="J13" s="14"/>
      <c r="K13" s="14"/>
      <c r="L13" s="14"/>
      <c r="M13" s="14"/>
      <c r="N13" s="14"/>
    </row>
    <row r="14" spans="1:14" x14ac:dyDescent="0.2">
      <c r="A14" s="86" t="s">
        <v>681</v>
      </c>
      <c r="B14" s="45"/>
      <c r="C14" s="45" t="s">
        <v>682</v>
      </c>
      <c r="D14" s="50"/>
      <c r="E14" s="50"/>
      <c r="F14" s="50"/>
      <c r="G14" s="88"/>
      <c r="I14" s="14"/>
      <c r="J14" s="14"/>
      <c r="K14" s="14"/>
      <c r="L14" s="14"/>
      <c r="M14" s="14"/>
      <c r="N14" s="14"/>
    </row>
    <row r="15" spans="1:14" x14ac:dyDescent="0.2">
      <c r="A15" s="89" t="s">
        <v>775</v>
      </c>
      <c r="B15" s="50"/>
      <c r="C15" s="90"/>
      <c r="D15" s="50"/>
      <c r="E15" s="50"/>
      <c r="F15" s="50"/>
      <c r="G15" s="88"/>
      <c r="I15" s="14"/>
      <c r="J15" s="14"/>
      <c r="K15" s="14"/>
      <c r="L15" s="14"/>
      <c r="M15" s="14"/>
      <c r="N15" s="14"/>
    </row>
    <row r="16" spans="1:14" x14ac:dyDescent="0.2">
      <c r="A16" s="86" t="s">
        <v>674</v>
      </c>
      <c r="B16" s="45" t="s">
        <v>683</v>
      </c>
      <c r="C16" s="45" t="s">
        <v>684</v>
      </c>
      <c r="D16" s="45" t="s">
        <v>642</v>
      </c>
      <c r="E16" s="45" t="s">
        <v>685</v>
      </c>
      <c r="F16" s="13"/>
      <c r="G16" s="143"/>
      <c r="I16" s="14"/>
      <c r="J16" s="14"/>
      <c r="K16" s="14"/>
      <c r="L16" s="14"/>
      <c r="M16" s="14"/>
      <c r="N16" s="14"/>
    </row>
    <row r="17" spans="1:14" x14ac:dyDescent="0.2">
      <c r="A17" s="96">
        <v>3</v>
      </c>
      <c r="B17" s="87">
        <v>1</v>
      </c>
      <c r="C17" s="87">
        <v>2005</v>
      </c>
      <c r="D17" s="87">
        <v>175</v>
      </c>
      <c r="E17" s="87">
        <v>7</v>
      </c>
      <c r="F17" s="15"/>
      <c r="G17" s="144"/>
      <c r="I17" s="14"/>
      <c r="J17" s="14"/>
      <c r="K17" s="154"/>
      <c r="L17" s="154"/>
      <c r="M17" s="154"/>
      <c r="N17" s="14"/>
    </row>
    <row r="18" spans="1:14" x14ac:dyDescent="0.2">
      <c r="A18" s="102"/>
      <c r="B18" s="50"/>
      <c r="C18" s="50"/>
      <c r="D18" s="50"/>
      <c r="E18" s="50"/>
      <c r="F18" s="50"/>
      <c r="G18" s="88"/>
      <c r="I18" s="14"/>
      <c r="J18" s="14"/>
      <c r="K18" s="154"/>
      <c r="L18" s="154"/>
      <c r="M18" s="154"/>
      <c r="N18" s="14"/>
    </row>
    <row r="19" spans="1:14" x14ac:dyDescent="0.2">
      <c r="A19" s="103" t="s">
        <v>104</v>
      </c>
      <c r="B19" s="15">
        <v>0</v>
      </c>
      <c r="C19" s="6"/>
      <c r="D19" s="14"/>
      <c r="E19" s="139" t="s">
        <v>711</v>
      </c>
      <c r="F19" s="87">
        <v>2</v>
      </c>
      <c r="G19" s="141" t="s">
        <v>686</v>
      </c>
      <c r="J19" s="6" t="s">
        <v>781</v>
      </c>
      <c r="K19" s="8">
        <f>300*0.21</f>
        <v>63</v>
      </c>
      <c r="L19" s="8"/>
      <c r="M19" s="8"/>
      <c r="N19" s="14"/>
    </row>
    <row r="20" spans="1:14" x14ac:dyDescent="0.2">
      <c r="A20" s="104" t="s">
        <v>84</v>
      </c>
      <c r="B20" s="15">
        <v>2</v>
      </c>
      <c r="C20" s="14"/>
      <c r="D20" s="14"/>
      <c r="E20" s="145" t="s">
        <v>718</v>
      </c>
      <c r="F20" s="87">
        <v>0</v>
      </c>
      <c r="G20" s="92">
        <v>0.5</v>
      </c>
      <c r="I20" s="14"/>
      <c r="J20" s="6" t="s">
        <v>782</v>
      </c>
      <c r="K20" s="8">
        <f>200*0.46</f>
        <v>92</v>
      </c>
      <c r="L20" s="8"/>
      <c r="M20" s="8"/>
      <c r="N20" s="14"/>
    </row>
    <row r="21" spans="1:14" x14ac:dyDescent="0.2">
      <c r="A21" s="104" t="s">
        <v>659</v>
      </c>
      <c r="B21" s="15">
        <v>2</v>
      </c>
      <c r="C21" s="14"/>
      <c r="D21" s="14"/>
      <c r="E21" s="145" t="s">
        <v>712</v>
      </c>
      <c r="F21" s="87">
        <v>0</v>
      </c>
      <c r="G21" s="146"/>
      <c r="I21" s="14"/>
      <c r="J21" s="6" t="s">
        <v>783</v>
      </c>
      <c r="K21" s="8">
        <v>46</v>
      </c>
      <c r="L21" s="8"/>
      <c r="M21" s="8"/>
      <c r="N21" s="14"/>
    </row>
    <row r="22" spans="1:14" x14ac:dyDescent="0.2">
      <c r="A22" s="105"/>
      <c r="B22" s="106" t="s">
        <v>673</v>
      </c>
      <c r="C22" s="106" t="s">
        <v>57</v>
      </c>
      <c r="D22" s="106" t="s">
        <v>100</v>
      </c>
      <c r="E22" s="140" t="s">
        <v>713</v>
      </c>
      <c r="F22" s="140" t="s">
        <v>714</v>
      </c>
      <c r="G22" s="142"/>
      <c r="I22" s="14"/>
      <c r="J22" s="6" t="s">
        <v>783</v>
      </c>
      <c r="K22" s="15">
        <v>46</v>
      </c>
      <c r="L22" s="15"/>
      <c r="M22" s="15"/>
      <c r="N22" s="14"/>
    </row>
    <row r="23" spans="1:14" x14ac:dyDescent="0.2">
      <c r="A23" s="105" t="s">
        <v>717</v>
      </c>
      <c r="B23" s="107" t="s">
        <v>72</v>
      </c>
      <c r="C23" s="107" t="s">
        <v>113</v>
      </c>
      <c r="D23" s="107" t="s">
        <v>63</v>
      </c>
      <c r="E23" s="140" t="s">
        <v>716</v>
      </c>
      <c r="F23" s="140" t="s">
        <v>715</v>
      </c>
      <c r="G23" s="142"/>
      <c r="I23" s="14"/>
      <c r="J23" s="14"/>
      <c r="K23" s="13"/>
      <c r="L23" s="14"/>
      <c r="M23" s="14"/>
      <c r="N23" s="14"/>
    </row>
    <row r="24" spans="1:14" ht="18" x14ac:dyDescent="0.25">
      <c r="A24" s="108">
        <v>1</v>
      </c>
      <c r="B24" s="8">
        <v>1</v>
      </c>
      <c r="C24" s="8">
        <v>2.2999999999999998</v>
      </c>
      <c r="D24" s="8">
        <v>2</v>
      </c>
      <c r="E24" s="73"/>
      <c r="F24" s="87"/>
      <c r="G24" s="88"/>
      <c r="I24" s="14"/>
      <c r="J24" s="38"/>
      <c r="K24" s="14"/>
      <c r="L24" s="14"/>
      <c r="M24" s="14"/>
      <c r="N24" s="14"/>
    </row>
    <row r="25" spans="1:14" x14ac:dyDescent="0.2">
      <c r="A25" s="108">
        <v>2</v>
      </c>
      <c r="B25" s="8">
        <v>10</v>
      </c>
      <c r="C25" s="8">
        <v>3.45</v>
      </c>
      <c r="D25" s="8">
        <v>10</v>
      </c>
      <c r="E25" s="87"/>
      <c r="F25" s="87"/>
      <c r="G25" s="88"/>
      <c r="I25" s="14"/>
      <c r="J25" s="11"/>
      <c r="K25" s="154"/>
      <c r="L25" s="154"/>
      <c r="M25" s="154"/>
      <c r="N25" s="14"/>
    </row>
    <row r="26" spans="1:14" x14ac:dyDescent="0.2">
      <c r="A26" s="108">
        <v>3</v>
      </c>
      <c r="B26" s="8"/>
      <c r="C26" s="8"/>
      <c r="D26" s="8"/>
      <c r="E26" s="87"/>
      <c r="F26" s="87"/>
      <c r="G26" s="88"/>
      <c r="I26" s="14"/>
      <c r="J26" s="11"/>
      <c r="K26" s="154"/>
      <c r="L26" s="154"/>
      <c r="M26" s="154"/>
      <c r="N26" s="14"/>
    </row>
    <row r="27" spans="1:14" x14ac:dyDescent="0.2">
      <c r="A27" s="97">
        <v>4</v>
      </c>
      <c r="B27" s="15"/>
      <c r="C27" s="15"/>
      <c r="D27" s="15"/>
      <c r="E27" s="87"/>
      <c r="F27" s="87"/>
      <c r="G27" s="88"/>
      <c r="I27" s="14"/>
      <c r="J27" s="11"/>
      <c r="K27" s="8"/>
      <c r="L27" s="8"/>
      <c r="M27" s="8"/>
      <c r="N27" s="14"/>
    </row>
    <row r="28" spans="1:14" x14ac:dyDescent="0.2">
      <c r="A28" s="97">
        <v>5</v>
      </c>
      <c r="B28" s="15"/>
      <c r="C28" s="15"/>
      <c r="D28" s="15"/>
      <c r="E28" s="87"/>
      <c r="F28" s="87"/>
      <c r="G28" s="88"/>
      <c r="I28" s="14"/>
      <c r="J28" s="11"/>
      <c r="K28" s="8"/>
      <c r="L28" s="8"/>
      <c r="M28" s="8"/>
      <c r="N28" s="14"/>
    </row>
    <row r="29" spans="1:14" x14ac:dyDescent="0.2">
      <c r="A29" s="97">
        <v>6</v>
      </c>
      <c r="B29" s="15"/>
      <c r="C29" s="15"/>
      <c r="D29" s="15"/>
      <c r="E29" s="87"/>
      <c r="F29" s="87"/>
      <c r="G29" s="88"/>
      <c r="I29" s="14"/>
      <c r="J29" s="11"/>
      <c r="K29" s="8"/>
      <c r="L29" s="8"/>
      <c r="M29" s="8"/>
      <c r="N29" s="14"/>
    </row>
    <row r="30" spans="1:14" x14ac:dyDescent="0.2">
      <c r="A30" s="97">
        <v>7</v>
      </c>
      <c r="B30" s="15"/>
      <c r="C30" s="15"/>
      <c r="D30" s="15"/>
      <c r="E30" s="87"/>
      <c r="F30" s="87"/>
      <c r="G30" s="88"/>
      <c r="I30" s="14"/>
      <c r="J30" s="11"/>
      <c r="K30" s="15"/>
      <c r="L30" s="15"/>
      <c r="M30" s="15"/>
      <c r="N30" s="14"/>
    </row>
    <row r="31" spans="1:14" x14ac:dyDescent="0.2">
      <c r="A31" s="97">
        <v>8</v>
      </c>
      <c r="B31" s="15"/>
      <c r="C31" s="15"/>
      <c r="D31" s="15"/>
      <c r="E31" s="87"/>
      <c r="F31" s="87"/>
      <c r="G31" s="88"/>
      <c r="I31" s="14"/>
      <c r="J31" s="11"/>
      <c r="K31" s="13"/>
      <c r="L31" s="14"/>
      <c r="M31" s="15"/>
      <c r="N31" s="14"/>
    </row>
    <row r="32" spans="1:14" x14ac:dyDescent="0.2">
      <c r="A32" s="97">
        <v>9</v>
      </c>
      <c r="B32" s="15"/>
      <c r="C32" s="15"/>
      <c r="D32" s="15"/>
      <c r="E32" s="87"/>
      <c r="F32" s="87"/>
      <c r="G32" s="88"/>
      <c r="I32" s="14"/>
      <c r="J32" s="11"/>
      <c r="K32" s="14"/>
      <c r="L32" s="14"/>
      <c r="M32" s="14"/>
      <c r="N32" s="14"/>
    </row>
    <row r="33" spans="1:14" ht="13.5" thickBot="1" x14ac:dyDescent="0.25">
      <c r="A33" s="109">
        <v>10</v>
      </c>
      <c r="B33" s="110"/>
      <c r="C33" s="110"/>
      <c r="D33" s="111"/>
      <c r="E33" s="99"/>
      <c r="F33" s="99"/>
      <c r="G33" s="101"/>
      <c r="I33" s="14"/>
      <c r="J33" s="11"/>
      <c r="K33" s="154"/>
      <c r="L33" s="154"/>
      <c r="M33" s="154"/>
      <c r="N33" s="14"/>
    </row>
    <row r="34" spans="1:14" x14ac:dyDescent="0.2">
      <c r="I34" s="14"/>
      <c r="J34" s="11"/>
      <c r="K34" s="154"/>
      <c r="L34" s="154"/>
      <c r="M34" s="154"/>
      <c r="N34" s="14"/>
    </row>
    <row r="35" spans="1:14" ht="13.5" thickBot="1" x14ac:dyDescent="0.25">
      <c r="I35" s="14"/>
      <c r="J35" s="11"/>
      <c r="K35" s="8"/>
      <c r="L35" s="8"/>
      <c r="M35" s="8"/>
      <c r="N35" s="14"/>
    </row>
    <row r="36" spans="1:14" x14ac:dyDescent="0.2">
      <c r="A36" s="82" t="s">
        <v>680</v>
      </c>
      <c r="B36" s="84"/>
      <c r="C36" s="84"/>
      <c r="D36" s="84"/>
      <c r="E36" s="84"/>
      <c r="F36" s="84"/>
      <c r="G36" s="85"/>
      <c r="I36" s="14"/>
      <c r="J36" s="11"/>
      <c r="K36" s="8"/>
      <c r="L36" s="8"/>
      <c r="M36" s="8"/>
      <c r="N36" s="14"/>
    </row>
    <row r="37" spans="1:14" x14ac:dyDescent="0.2">
      <c r="A37" s="86" t="s">
        <v>681</v>
      </c>
      <c r="B37" s="45"/>
      <c r="C37" s="45" t="s">
        <v>682</v>
      </c>
      <c r="D37" s="50"/>
      <c r="E37" s="50"/>
      <c r="F37" s="50"/>
      <c r="G37" s="88"/>
      <c r="I37" s="14"/>
      <c r="J37" s="11"/>
      <c r="K37" s="8"/>
      <c r="L37" s="8"/>
      <c r="M37" s="8"/>
      <c r="N37" s="14"/>
    </row>
    <row r="38" spans="1:14" x14ac:dyDescent="0.2">
      <c r="A38" s="89" t="s">
        <v>777</v>
      </c>
      <c r="B38" s="50"/>
      <c r="C38" s="90"/>
      <c r="D38" s="50"/>
      <c r="E38" s="50"/>
      <c r="F38" s="50"/>
      <c r="G38" s="88"/>
      <c r="I38" s="14"/>
      <c r="J38" s="14"/>
      <c r="K38" s="14"/>
      <c r="L38" s="14"/>
      <c r="M38" s="14"/>
      <c r="N38" s="14"/>
    </row>
    <row r="39" spans="1:14" x14ac:dyDescent="0.2">
      <c r="A39" s="86" t="s">
        <v>674</v>
      </c>
      <c r="B39" s="45" t="s">
        <v>683</v>
      </c>
      <c r="C39" s="45" t="s">
        <v>684</v>
      </c>
      <c r="D39" s="45" t="s">
        <v>642</v>
      </c>
      <c r="E39" s="45" t="s">
        <v>685</v>
      </c>
      <c r="F39" s="13"/>
      <c r="G39" s="143"/>
      <c r="I39" s="14"/>
      <c r="J39" s="14"/>
      <c r="K39" s="14"/>
      <c r="L39" s="14"/>
      <c r="M39" s="14"/>
      <c r="N39" s="14"/>
    </row>
    <row r="40" spans="1:14" x14ac:dyDescent="0.2">
      <c r="A40" s="96">
        <v>3</v>
      </c>
      <c r="B40" s="87">
        <v>1</v>
      </c>
      <c r="C40" s="87">
        <v>2005</v>
      </c>
      <c r="D40" s="87">
        <v>175</v>
      </c>
      <c r="E40" s="87">
        <v>8</v>
      </c>
      <c r="F40" s="15"/>
      <c r="G40" s="144"/>
      <c r="I40" s="14"/>
      <c r="J40" s="14"/>
      <c r="K40" s="14"/>
      <c r="L40" s="14"/>
      <c r="M40" s="14"/>
      <c r="N40" s="14"/>
    </row>
    <row r="41" spans="1:14" x14ac:dyDescent="0.2">
      <c r="A41" s="102"/>
      <c r="B41" s="50"/>
      <c r="C41" s="50"/>
      <c r="D41" s="50"/>
      <c r="E41" s="50"/>
      <c r="F41" s="50"/>
      <c r="G41" s="88"/>
      <c r="I41" s="14"/>
      <c r="J41" s="14"/>
      <c r="K41" s="14"/>
      <c r="L41" s="14"/>
      <c r="M41" s="14"/>
      <c r="N41" s="14"/>
    </row>
    <row r="42" spans="1:14" x14ac:dyDescent="0.2">
      <c r="A42" s="103" t="s">
        <v>104</v>
      </c>
      <c r="B42" s="15">
        <v>2</v>
      </c>
      <c r="C42" s="6"/>
      <c r="D42" s="14"/>
      <c r="E42" s="139" t="s">
        <v>711</v>
      </c>
      <c r="F42" s="87">
        <v>1</v>
      </c>
      <c r="G42" s="141" t="s">
        <v>686</v>
      </c>
      <c r="I42" s="14"/>
      <c r="J42" s="14"/>
      <c r="K42" s="14"/>
      <c r="L42" s="14"/>
      <c r="M42" s="14"/>
      <c r="N42" s="14"/>
    </row>
    <row r="43" spans="1:14" x14ac:dyDescent="0.2">
      <c r="A43" s="104" t="s">
        <v>84</v>
      </c>
      <c r="B43" s="15">
        <v>5</v>
      </c>
      <c r="C43" s="14"/>
      <c r="D43" s="14"/>
      <c r="E43" s="145" t="s">
        <v>718</v>
      </c>
      <c r="F43" s="87">
        <v>1</v>
      </c>
      <c r="G43" s="92">
        <v>0.5</v>
      </c>
      <c r="I43" s="14"/>
      <c r="J43" s="14"/>
      <c r="K43" s="14"/>
      <c r="L43" s="14"/>
      <c r="M43" s="14"/>
      <c r="N43" s="14"/>
    </row>
    <row r="44" spans="1:14" x14ac:dyDescent="0.2">
      <c r="A44" s="104" t="s">
        <v>659</v>
      </c>
      <c r="B44" s="15">
        <v>2</v>
      </c>
      <c r="C44" s="14"/>
      <c r="D44" s="14"/>
      <c r="E44" s="145" t="s">
        <v>712</v>
      </c>
      <c r="F44" s="87">
        <v>2</v>
      </c>
      <c r="G44" s="146"/>
      <c r="I44" s="14"/>
      <c r="J44" s="14"/>
      <c r="K44" s="14"/>
      <c r="L44" s="14"/>
      <c r="M44" s="14"/>
      <c r="N44" s="14"/>
    </row>
    <row r="45" spans="1:14" x14ac:dyDescent="0.2">
      <c r="A45" s="105"/>
      <c r="B45" s="106" t="s">
        <v>673</v>
      </c>
      <c r="C45" s="106" t="s">
        <v>57</v>
      </c>
      <c r="D45" s="106" t="s">
        <v>100</v>
      </c>
      <c r="E45" s="140" t="s">
        <v>713</v>
      </c>
      <c r="F45" s="140" t="s">
        <v>714</v>
      </c>
      <c r="G45" s="142"/>
      <c r="I45" s="14"/>
      <c r="J45" s="14"/>
      <c r="K45" s="14"/>
      <c r="L45" s="14"/>
      <c r="M45" s="14"/>
      <c r="N45" s="14"/>
    </row>
    <row r="46" spans="1:14" x14ac:dyDescent="0.2">
      <c r="A46" s="105" t="s">
        <v>717</v>
      </c>
      <c r="B46" s="107" t="s">
        <v>72</v>
      </c>
      <c r="C46" s="107" t="s">
        <v>113</v>
      </c>
      <c r="D46" s="107" t="s">
        <v>63</v>
      </c>
      <c r="E46" s="140" t="s">
        <v>716</v>
      </c>
      <c r="F46" s="140" t="s">
        <v>715</v>
      </c>
      <c r="G46" s="142"/>
      <c r="I46" s="14"/>
      <c r="J46" s="14"/>
      <c r="K46" s="14"/>
      <c r="L46" s="14"/>
      <c r="M46" s="14"/>
      <c r="N46" s="14"/>
    </row>
    <row r="47" spans="1:14" x14ac:dyDescent="0.2">
      <c r="A47" s="108">
        <v>1</v>
      </c>
      <c r="B47" s="8">
        <v>1</v>
      </c>
      <c r="C47" s="8">
        <v>1.1000000000000001</v>
      </c>
      <c r="D47" s="8">
        <v>3</v>
      </c>
      <c r="E47" s="73">
        <v>39</v>
      </c>
      <c r="F47" s="87">
        <v>60</v>
      </c>
      <c r="G47" s="88"/>
      <c r="I47" s="14"/>
      <c r="J47" s="14"/>
      <c r="K47" s="14"/>
      <c r="L47" s="14"/>
      <c r="M47" s="14"/>
      <c r="N47" s="14"/>
    </row>
    <row r="48" spans="1:14" x14ac:dyDescent="0.2">
      <c r="A48" s="108">
        <v>2</v>
      </c>
      <c r="B48" s="8">
        <v>25</v>
      </c>
      <c r="C48" s="8">
        <v>4.5999999999999996</v>
      </c>
      <c r="D48" s="8">
        <v>10</v>
      </c>
      <c r="E48" s="87"/>
      <c r="F48" s="87"/>
      <c r="G48" s="88"/>
      <c r="I48" s="14"/>
      <c r="J48" s="14"/>
      <c r="K48" s="14"/>
      <c r="L48" s="14"/>
      <c r="M48" s="14"/>
      <c r="N48" s="14"/>
    </row>
    <row r="49" spans="1:14" x14ac:dyDescent="0.2">
      <c r="A49" s="108">
        <v>3</v>
      </c>
      <c r="B49" s="8">
        <v>35</v>
      </c>
      <c r="C49" s="8">
        <v>4.5999999999999996</v>
      </c>
      <c r="D49" s="8">
        <v>10</v>
      </c>
      <c r="E49" s="87"/>
      <c r="F49" s="87"/>
      <c r="G49" s="88"/>
      <c r="I49" s="14"/>
      <c r="J49" s="14"/>
      <c r="K49" s="14"/>
      <c r="L49" s="14"/>
      <c r="M49" s="14"/>
      <c r="N49" s="14"/>
    </row>
    <row r="50" spans="1:14" x14ac:dyDescent="0.2">
      <c r="A50" s="97">
        <v>4</v>
      </c>
      <c r="B50" s="15">
        <v>45</v>
      </c>
      <c r="C50" s="8">
        <v>4.5999999999999996</v>
      </c>
      <c r="D50" s="8">
        <v>10</v>
      </c>
      <c r="E50" s="87"/>
      <c r="F50" s="87"/>
      <c r="G50" s="88"/>
      <c r="I50" s="14"/>
      <c r="J50" s="14"/>
      <c r="K50" s="14"/>
      <c r="L50" s="14"/>
      <c r="M50" s="14"/>
      <c r="N50" s="14"/>
    </row>
    <row r="51" spans="1:14" x14ac:dyDescent="0.2">
      <c r="A51" s="97">
        <v>5</v>
      </c>
      <c r="B51" s="15">
        <v>55</v>
      </c>
      <c r="C51" s="15">
        <v>4.5999999999999996</v>
      </c>
      <c r="D51" s="15">
        <v>10</v>
      </c>
      <c r="E51" s="87"/>
      <c r="F51" s="87"/>
      <c r="G51" s="88"/>
      <c r="I51" s="14"/>
      <c r="J51" s="14"/>
      <c r="K51" s="14"/>
      <c r="L51" s="14"/>
      <c r="M51" s="14"/>
      <c r="N51" s="14"/>
    </row>
    <row r="52" spans="1:14" x14ac:dyDescent="0.2">
      <c r="A52" s="97">
        <v>6</v>
      </c>
      <c r="B52" s="15"/>
      <c r="C52" s="15"/>
      <c r="D52" s="15"/>
      <c r="E52" s="87"/>
      <c r="F52" s="87"/>
      <c r="G52" s="88"/>
      <c r="I52" s="14"/>
      <c r="J52" s="14"/>
      <c r="K52" s="14"/>
      <c r="L52" s="14"/>
      <c r="M52" s="14"/>
      <c r="N52" s="14"/>
    </row>
    <row r="53" spans="1:14" x14ac:dyDescent="0.2">
      <c r="A53" s="97">
        <v>7</v>
      </c>
      <c r="B53" s="15"/>
      <c r="C53" s="15"/>
      <c r="D53" s="15"/>
      <c r="E53" s="87"/>
      <c r="F53" s="87"/>
      <c r="G53" s="88"/>
      <c r="I53" s="14"/>
      <c r="J53" s="14"/>
      <c r="K53" s="14"/>
      <c r="L53" s="14"/>
      <c r="M53" s="14"/>
      <c r="N53" s="14"/>
    </row>
    <row r="54" spans="1:14" x14ac:dyDescent="0.2">
      <c r="A54" s="97">
        <v>8</v>
      </c>
      <c r="B54" s="15"/>
      <c r="C54" s="15"/>
      <c r="D54" s="15"/>
      <c r="E54" s="87"/>
      <c r="F54" s="87"/>
      <c r="G54" s="88"/>
      <c r="I54" s="14"/>
      <c r="J54" s="14"/>
      <c r="K54" s="14"/>
      <c r="L54" s="14"/>
      <c r="M54" s="14"/>
      <c r="N54" s="14"/>
    </row>
    <row r="55" spans="1:14" x14ac:dyDescent="0.2">
      <c r="A55" s="97">
        <v>9</v>
      </c>
      <c r="B55" s="15"/>
      <c r="C55" s="15"/>
      <c r="D55" s="15"/>
      <c r="E55" s="87"/>
      <c r="F55" s="87"/>
      <c r="G55" s="88"/>
      <c r="I55" s="14"/>
      <c r="J55" s="14"/>
      <c r="K55" s="14"/>
      <c r="L55" s="14"/>
      <c r="M55" s="14"/>
      <c r="N55" s="14"/>
    </row>
    <row r="56" spans="1:14" ht="13.5" thickBot="1" x14ac:dyDescent="0.25">
      <c r="A56" s="109">
        <v>10</v>
      </c>
      <c r="B56" s="110"/>
      <c r="C56" s="110"/>
      <c r="D56" s="111"/>
      <c r="E56" s="99"/>
      <c r="F56" s="99"/>
      <c r="G56" s="101"/>
      <c r="I56" s="14"/>
      <c r="J56" s="14"/>
      <c r="K56" s="14"/>
      <c r="L56" s="14"/>
      <c r="M56" s="14"/>
      <c r="N56" s="14"/>
    </row>
    <row r="57" spans="1:14" x14ac:dyDescent="0.2">
      <c r="I57" s="14"/>
      <c r="J57" s="14"/>
      <c r="K57" s="14"/>
      <c r="L57" s="14"/>
      <c r="M57" s="14"/>
      <c r="N57" s="14"/>
    </row>
    <row r="58" spans="1:14" ht="13.5" thickBot="1" x14ac:dyDescent="0.25">
      <c r="A58" s="14"/>
      <c r="B58" s="14"/>
      <c r="C58" s="14"/>
      <c r="D58" s="14"/>
      <c r="E58" s="14"/>
      <c r="F58" s="14"/>
      <c r="G58" s="14"/>
      <c r="H58" s="14"/>
      <c r="I58" s="14"/>
    </row>
    <row r="59" spans="1:14" x14ac:dyDescent="0.2">
      <c r="A59" s="82" t="s">
        <v>680</v>
      </c>
      <c r="B59" s="84"/>
      <c r="C59" s="84"/>
      <c r="D59" s="84"/>
      <c r="E59" s="84"/>
      <c r="F59" s="84"/>
      <c r="G59" s="85"/>
      <c r="H59" s="14"/>
      <c r="I59" s="14"/>
    </row>
    <row r="60" spans="1:14" x14ac:dyDescent="0.2">
      <c r="A60" s="86" t="s">
        <v>681</v>
      </c>
      <c r="B60" s="45"/>
      <c r="C60" s="45" t="s">
        <v>682</v>
      </c>
      <c r="D60" s="50"/>
      <c r="E60" s="50"/>
      <c r="F60" s="50"/>
      <c r="G60" s="88"/>
      <c r="H60" s="14"/>
      <c r="I60" s="14"/>
    </row>
    <row r="61" spans="1:14" x14ac:dyDescent="0.2">
      <c r="A61" s="89" t="s">
        <v>779</v>
      </c>
      <c r="B61" s="50"/>
      <c r="C61" s="90"/>
      <c r="D61" s="50"/>
      <c r="E61" s="50"/>
      <c r="F61" s="50"/>
      <c r="G61" s="88"/>
      <c r="H61" s="14"/>
      <c r="I61" s="14"/>
    </row>
    <row r="62" spans="1:14" x14ac:dyDescent="0.2">
      <c r="A62" s="86" t="s">
        <v>674</v>
      </c>
      <c r="B62" s="45" t="s">
        <v>683</v>
      </c>
      <c r="C62" s="45" t="s">
        <v>684</v>
      </c>
      <c r="D62" s="45" t="s">
        <v>642</v>
      </c>
      <c r="E62" s="45" t="s">
        <v>685</v>
      </c>
      <c r="F62" s="13"/>
      <c r="G62" s="143"/>
      <c r="H62" s="14"/>
      <c r="I62" s="14"/>
    </row>
    <row r="63" spans="1:14" x14ac:dyDescent="0.2">
      <c r="A63" s="96">
        <v>3</v>
      </c>
      <c r="B63" s="87">
        <v>1</v>
      </c>
      <c r="C63" s="87">
        <v>1992</v>
      </c>
      <c r="D63" s="87">
        <v>130</v>
      </c>
      <c r="E63" s="87">
        <v>10</v>
      </c>
      <c r="F63" s="15"/>
      <c r="G63" s="144"/>
      <c r="H63" s="14"/>
      <c r="I63" s="14"/>
    </row>
    <row r="64" spans="1:14" x14ac:dyDescent="0.2">
      <c r="A64" s="102"/>
      <c r="B64" s="50"/>
      <c r="C64" s="50"/>
      <c r="D64" s="50"/>
      <c r="E64" s="50"/>
      <c r="F64" s="50"/>
      <c r="G64" s="88"/>
      <c r="H64" s="14"/>
      <c r="I64" s="14"/>
    </row>
    <row r="65" spans="1:9" x14ac:dyDescent="0.2">
      <c r="A65" s="103" t="s">
        <v>104</v>
      </c>
      <c r="B65" s="15">
        <v>2</v>
      </c>
      <c r="C65" s="6"/>
      <c r="D65" s="14"/>
      <c r="E65" s="139" t="s">
        <v>711</v>
      </c>
      <c r="F65" s="87">
        <v>1</v>
      </c>
      <c r="G65" s="141" t="s">
        <v>686</v>
      </c>
      <c r="H65" s="14"/>
      <c r="I65" s="14"/>
    </row>
    <row r="66" spans="1:9" x14ac:dyDescent="0.2">
      <c r="A66" s="104" t="s">
        <v>84</v>
      </c>
      <c r="B66" s="15">
        <v>5</v>
      </c>
      <c r="C66" s="14"/>
      <c r="D66" s="14"/>
      <c r="E66" s="145" t="s">
        <v>718</v>
      </c>
      <c r="F66" s="87">
        <v>1</v>
      </c>
      <c r="G66" s="92">
        <v>0.5</v>
      </c>
      <c r="H66" s="14"/>
      <c r="I66" s="14"/>
    </row>
    <row r="67" spans="1:9" x14ac:dyDescent="0.2">
      <c r="A67" s="104" t="s">
        <v>659</v>
      </c>
      <c r="B67" s="15">
        <v>2</v>
      </c>
      <c r="C67" s="14"/>
      <c r="D67" s="14"/>
      <c r="E67" s="145" t="s">
        <v>712</v>
      </c>
      <c r="F67" s="87">
        <v>2</v>
      </c>
      <c r="G67" s="146"/>
      <c r="H67" s="14"/>
      <c r="I67" s="14"/>
    </row>
    <row r="68" spans="1:9" x14ac:dyDescent="0.2">
      <c r="A68" s="105"/>
      <c r="B68" s="106" t="s">
        <v>673</v>
      </c>
      <c r="C68" s="106" t="s">
        <v>57</v>
      </c>
      <c r="D68" s="106" t="s">
        <v>100</v>
      </c>
      <c r="E68" s="140" t="s">
        <v>713</v>
      </c>
      <c r="F68" s="140" t="s">
        <v>714</v>
      </c>
      <c r="G68" s="142"/>
      <c r="H68" s="14"/>
      <c r="I68" s="14"/>
    </row>
    <row r="69" spans="1:9" x14ac:dyDescent="0.2">
      <c r="A69" s="105" t="s">
        <v>717</v>
      </c>
      <c r="B69" s="107" t="s">
        <v>72</v>
      </c>
      <c r="C69" s="107" t="s">
        <v>113</v>
      </c>
      <c r="D69" s="107" t="s">
        <v>63</v>
      </c>
      <c r="E69" s="140" t="s">
        <v>716</v>
      </c>
      <c r="F69" s="140" t="s">
        <v>715</v>
      </c>
      <c r="G69" s="142"/>
      <c r="H69" s="14"/>
      <c r="I69" s="14"/>
    </row>
    <row r="70" spans="1:9" x14ac:dyDescent="0.2">
      <c r="A70" s="108">
        <v>1</v>
      </c>
      <c r="B70" s="8">
        <v>1</v>
      </c>
      <c r="C70" s="8">
        <v>1.1000000000000001</v>
      </c>
      <c r="D70" s="8">
        <v>3</v>
      </c>
      <c r="E70" s="73">
        <v>39</v>
      </c>
      <c r="F70" s="87">
        <v>60</v>
      </c>
      <c r="G70" s="88"/>
      <c r="H70" s="14"/>
      <c r="I70" s="14"/>
    </row>
    <row r="71" spans="1:9" x14ac:dyDescent="0.2">
      <c r="A71" s="108">
        <v>2</v>
      </c>
      <c r="B71" s="8">
        <v>25</v>
      </c>
      <c r="C71" s="8">
        <v>4.5999999999999996</v>
      </c>
      <c r="D71" s="8">
        <v>10</v>
      </c>
      <c r="E71" s="87"/>
      <c r="F71" s="87"/>
      <c r="G71" s="88"/>
      <c r="H71" s="14"/>
      <c r="I71" s="14"/>
    </row>
    <row r="72" spans="1:9" x14ac:dyDescent="0.2">
      <c r="A72" s="108">
        <v>3</v>
      </c>
      <c r="B72" s="8">
        <v>35</v>
      </c>
      <c r="C72" s="8">
        <v>4.5999999999999996</v>
      </c>
      <c r="D72" s="8">
        <v>10</v>
      </c>
      <c r="E72" s="87"/>
      <c r="F72" s="87"/>
      <c r="G72" s="88"/>
      <c r="H72" s="14"/>
      <c r="I72" s="14"/>
    </row>
    <row r="73" spans="1:9" x14ac:dyDescent="0.2">
      <c r="A73" s="97">
        <v>4</v>
      </c>
      <c r="B73" s="15">
        <v>45</v>
      </c>
      <c r="C73" s="8">
        <v>4.5999999999999996</v>
      </c>
      <c r="D73" s="8">
        <v>10</v>
      </c>
      <c r="E73" s="87"/>
      <c r="F73" s="87"/>
      <c r="G73" s="88"/>
      <c r="H73" s="14"/>
      <c r="I73" s="14"/>
    </row>
    <row r="74" spans="1:9" x14ac:dyDescent="0.2">
      <c r="A74" s="97">
        <v>5</v>
      </c>
      <c r="B74" s="15">
        <v>55</v>
      </c>
      <c r="C74" s="15">
        <v>4.5999999999999996</v>
      </c>
      <c r="D74" s="15">
        <v>10</v>
      </c>
      <c r="E74" s="87"/>
      <c r="F74" s="87"/>
      <c r="G74" s="88"/>
      <c r="H74" s="14"/>
      <c r="I74" s="14"/>
    </row>
    <row r="75" spans="1:9" x14ac:dyDescent="0.2">
      <c r="A75" s="97">
        <v>6</v>
      </c>
      <c r="B75" s="15"/>
      <c r="C75" s="15"/>
      <c r="D75" s="15"/>
      <c r="E75" s="87"/>
      <c r="F75" s="87"/>
      <c r="G75" s="88"/>
      <c r="H75" s="14"/>
      <c r="I75" s="14"/>
    </row>
    <row r="76" spans="1:9" x14ac:dyDescent="0.2">
      <c r="A76" s="97">
        <v>7</v>
      </c>
      <c r="B76" s="15"/>
      <c r="C76" s="15"/>
      <c r="D76" s="15"/>
      <c r="E76" s="87"/>
      <c r="F76" s="87"/>
      <c r="G76" s="88"/>
      <c r="H76" s="14"/>
      <c r="I76" s="14"/>
    </row>
    <row r="77" spans="1:9" x14ac:dyDescent="0.2">
      <c r="A77" s="97">
        <v>8</v>
      </c>
      <c r="B77" s="15"/>
      <c r="C77" s="15"/>
      <c r="D77" s="15"/>
      <c r="E77" s="87"/>
      <c r="F77" s="87"/>
      <c r="G77" s="88"/>
      <c r="H77" s="14"/>
      <c r="I77" s="14"/>
    </row>
    <row r="78" spans="1:9" x14ac:dyDescent="0.2">
      <c r="A78" s="97">
        <v>9</v>
      </c>
      <c r="B78" s="15"/>
      <c r="C78" s="15"/>
      <c r="D78" s="15"/>
      <c r="E78" s="87"/>
      <c r="F78" s="87"/>
      <c r="G78" s="88"/>
      <c r="H78" s="14"/>
      <c r="I78" s="14"/>
    </row>
    <row r="79" spans="1:9" ht="13.5" thickBot="1" x14ac:dyDescent="0.25">
      <c r="A79" s="109">
        <v>10</v>
      </c>
      <c r="B79" s="110"/>
      <c r="C79" s="110"/>
      <c r="D79" s="111"/>
      <c r="E79" s="99"/>
      <c r="F79" s="99"/>
      <c r="G79" s="101"/>
      <c r="H79" s="14"/>
      <c r="I79" s="14"/>
    </row>
    <row r="80" spans="1:9" x14ac:dyDescent="0.2">
      <c r="A80" s="14"/>
      <c r="B80" s="14"/>
      <c r="C80" s="14"/>
      <c r="D80" s="14"/>
      <c r="E80" s="14"/>
      <c r="F80" s="14"/>
      <c r="G80" s="14"/>
      <c r="H80" s="14"/>
      <c r="I80" s="14"/>
    </row>
    <row r="81" spans="1:9" ht="13.5" thickBot="1" x14ac:dyDescent="0.25">
      <c r="A81" s="14"/>
      <c r="B81" s="14"/>
      <c r="C81" s="14"/>
      <c r="D81" s="14"/>
      <c r="E81" s="14"/>
      <c r="F81" s="14"/>
      <c r="G81" s="14"/>
      <c r="H81" s="14"/>
      <c r="I81" s="14"/>
    </row>
    <row r="82" spans="1:9" x14ac:dyDescent="0.2">
      <c r="A82" s="82" t="s">
        <v>680</v>
      </c>
      <c r="B82" s="84"/>
      <c r="C82" s="84"/>
      <c r="D82" s="84"/>
      <c r="E82" s="84"/>
      <c r="F82" s="84"/>
      <c r="G82" s="85"/>
      <c r="H82" s="14"/>
      <c r="I82" s="14"/>
    </row>
    <row r="83" spans="1:9" x14ac:dyDescent="0.2">
      <c r="A83" s="86" t="s">
        <v>681</v>
      </c>
      <c r="B83" s="45"/>
      <c r="C83" s="45" t="s">
        <v>682</v>
      </c>
      <c r="D83" s="50"/>
      <c r="E83" s="50"/>
      <c r="F83" s="50"/>
      <c r="G83" s="88"/>
      <c r="H83" s="14"/>
      <c r="I83" s="14"/>
    </row>
    <row r="84" spans="1:9" x14ac:dyDescent="0.2">
      <c r="A84" s="89" t="s">
        <v>766</v>
      </c>
      <c r="B84" s="50"/>
      <c r="C84" s="90"/>
      <c r="D84" s="50"/>
      <c r="E84" s="50"/>
      <c r="F84" s="50"/>
      <c r="G84" s="88"/>
      <c r="H84" s="14"/>
      <c r="I84" s="14"/>
    </row>
    <row r="85" spans="1:9" x14ac:dyDescent="0.2">
      <c r="A85" s="86" t="s">
        <v>674</v>
      </c>
      <c r="B85" s="45" t="s">
        <v>683</v>
      </c>
      <c r="C85" s="45" t="s">
        <v>684</v>
      </c>
      <c r="D85" s="45" t="s">
        <v>642</v>
      </c>
      <c r="E85" s="45" t="s">
        <v>685</v>
      </c>
      <c r="F85" s="13"/>
      <c r="G85" s="143"/>
      <c r="H85" s="14"/>
      <c r="I85" s="14"/>
    </row>
    <row r="86" spans="1:9" x14ac:dyDescent="0.2">
      <c r="A86" s="96">
        <v>1</v>
      </c>
      <c r="B86" s="87">
        <v>1</v>
      </c>
      <c r="C86" s="87">
        <v>1992</v>
      </c>
      <c r="D86" s="87">
        <v>130</v>
      </c>
      <c r="E86" s="87">
        <v>10</v>
      </c>
      <c r="F86" s="15"/>
      <c r="G86" s="144"/>
      <c r="H86" s="14"/>
      <c r="I86" s="14"/>
    </row>
    <row r="87" spans="1:9" x14ac:dyDescent="0.2">
      <c r="A87" s="102"/>
      <c r="B87" s="50"/>
      <c r="C87" s="50"/>
      <c r="D87" s="50"/>
      <c r="E87" s="50"/>
      <c r="F87" s="50"/>
      <c r="G87" s="88"/>
      <c r="H87" s="14"/>
      <c r="I87" s="14"/>
    </row>
    <row r="88" spans="1:9" x14ac:dyDescent="0.2">
      <c r="A88" s="103" t="s">
        <v>104</v>
      </c>
      <c r="B88" s="15">
        <v>2</v>
      </c>
      <c r="C88" s="6"/>
      <c r="D88" s="14"/>
      <c r="E88" s="139" t="s">
        <v>711</v>
      </c>
      <c r="F88" s="87">
        <v>1</v>
      </c>
      <c r="G88" s="141" t="s">
        <v>686</v>
      </c>
      <c r="H88" s="14"/>
      <c r="I88" s="14"/>
    </row>
    <row r="89" spans="1:9" x14ac:dyDescent="0.2">
      <c r="A89" s="104" t="s">
        <v>84</v>
      </c>
      <c r="B89" s="15">
        <v>5</v>
      </c>
      <c r="C89" s="14"/>
      <c r="D89" s="14"/>
      <c r="E89" s="145" t="s">
        <v>718</v>
      </c>
      <c r="F89" s="87">
        <v>1</v>
      </c>
      <c r="G89" s="92">
        <v>0.5</v>
      </c>
      <c r="H89" s="14"/>
      <c r="I89" s="14"/>
    </row>
    <row r="90" spans="1:9" x14ac:dyDescent="0.2">
      <c r="A90" s="104" t="s">
        <v>659</v>
      </c>
      <c r="B90" s="15">
        <v>2</v>
      </c>
      <c r="C90" s="14"/>
      <c r="D90" s="14"/>
      <c r="E90" s="145" t="s">
        <v>712</v>
      </c>
      <c r="F90" s="87">
        <v>2</v>
      </c>
      <c r="G90" s="146"/>
      <c r="H90" s="14"/>
      <c r="I90" s="14"/>
    </row>
    <row r="91" spans="1:9" x14ac:dyDescent="0.2">
      <c r="A91" s="105"/>
      <c r="B91" s="106" t="s">
        <v>673</v>
      </c>
      <c r="C91" s="106" t="s">
        <v>57</v>
      </c>
      <c r="D91" s="106" t="s">
        <v>100</v>
      </c>
      <c r="E91" s="140" t="s">
        <v>713</v>
      </c>
      <c r="F91" s="140" t="s">
        <v>714</v>
      </c>
      <c r="G91" s="142"/>
      <c r="H91" s="14"/>
      <c r="I91" s="14"/>
    </row>
    <row r="92" spans="1:9" x14ac:dyDescent="0.2">
      <c r="A92" s="105" t="s">
        <v>717</v>
      </c>
      <c r="B92" s="107" t="s">
        <v>72</v>
      </c>
      <c r="C92" s="107" t="s">
        <v>113</v>
      </c>
      <c r="D92" s="107" t="s">
        <v>63</v>
      </c>
      <c r="E92" s="140" t="s">
        <v>716</v>
      </c>
      <c r="F92" s="140" t="s">
        <v>715</v>
      </c>
      <c r="G92" s="142"/>
      <c r="H92" s="14"/>
      <c r="I92" s="14"/>
    </row>
    <row r="93" spans="1:9" x14ac:dyDescent="0.2">
      <c r="A93" s="108">
        <v>1</v>
      </c>
      <c r="B93" s="8">
        <v>1</v>
      </c>
      <c r="C93" s="8">
        <v>1.1000000000000001</v>
      </c>
      <c r="D93" s="8">
        <v>3</v>
      </c>
      <c r="E93" s="73">
        <v>39</v>
      </c>
      <c r="F93" s="87">
        <v>60</v>
      </c>
      <c r="G93" s="88"/>
      <c r="H93" s="14"/>
      <c r="I93" s="14"/>
    </row>
    <row r="94" spans="1:9" x14ac:dyDescent="0.2">
      <c r="A94" s="108">
        <v>2</v>
      </c>
      <c r="B94" s="8">
        <v>25</v>
      </c>
      <c r="C94" s="8">
        <v>4.5999999999999996</v>
      </c>
      <c r="D94" s="8">
        <v>10</v>
      </c>
      <c r="E94" s="87"/>
      <c r="F94" s="87"/>
      <c r="G94" s="88"/>
      <c r="H94" s="14"/>
      <c r="I94" s="14"/>
    </row>
    <row r="95" spans="1:9" x14ac:dyDescent="0.2">
      <c r="A95" s="108">
        <v>3</v>
      </c>
      <c r="B95" s="8">
        <v>35</v>
      </c>
      <c r="C95" s="8">
        <v>4.5999999999999996</v>
      </c>
      <c r="D95" s="8">
        <v>10</v>
      </c>
      <c r="E95" s="87"/>
      <c r="F95" s="87"/>
      <c r="G95" s="88"/>
      <c r="H95" s="14"/>
      <c r="I95" s="14"/>
    </row>
    <row r="96" spans="1:9" x14ac:dyDescent="0.2">
      <c r="A96" s="97">
        <v>4</v>
      </c>
      <c r="B96" s="15">
        <v>45</v>
      </c>
      <c r="C96" s="8">
        <v>4.5999999999999996</v>
      </c>
      <c r="D96" s="8">
        <v>10</v>
      </c>
      <c r="E96" s="87"/>
      <c r="F96" s="87"/>
      <c r="G96" s="88"/>
      <c r="H96" s="14"/>
      <c r="I96" s="14"/>
    </row>
    <row r="97" spans="1:9" x14ac:dyDescent="0.2">
      <c r="A97" s="97">
        <v>5</v>
      </c>
      <c r="B97" s="15">
        <v>55</v>
      </c>
      <c r="C97" s="15">
        <v>4.5999999999999996</v>
      </c>
      <c r="D97" s="15">
        <v>10</v>
      </c>
      <c r="E97" s="87"/>
      <c r="F97" s="87"/>
      <c r="G97" s="88"/>
      <c r="H97" s="14"/>
      <c r="I97" s="14"/>
    </row>
    <row r="98" spans="1:9" x14ac:dyDescent="0.2">
      <c r="A98" s="97">
        <v>6</v>
      </c>
      <c r="B98" s="15"/>
      <c r="C98" s="15"/>
      <c r="D98" s="15"/>
      <c r="E98" s="87"/>
      <c r="F98" s="87"/>
      <c r="G98" s="88"/>
      <c r="H98" s="14"/>
      <c r="I98" s="14"/>
    </row>
    <row r="99" spans="1:9" x14ac:dyDescent="0.2">
      <c r="A99" s="97">
        <v>7</v>
      </c>
      <c r="B99" s="15"/>
      <c r="C99" s="15"/>
      <c r="D99" s="15"/>
      <c r="E99" s="87"/>
      <c r="F99" s="87"/>
      <c r="G99" s="88"/>
      <c r="H99" s="14"/>
      <c r="I99" s="14"/>
    </row>
    <row r="100" spans="1:9" x14ac:dyDescent="0.2">
      <c r="A100" s="97">
        <v>8</v>
      </c>
      <c r="B100" s="15"/>
      <c r="C100" s="15"/>
      <c r="D100" s="15"/>
      <c r="E100" s="87"/>
      <c r="F100" s="87"/>
      <c r="G100" s="88"/>
      <c r="H100" s="14"/>
      <c r="I100" s="14"/>
    </row>
    <row r="101" spans="1:9" x14ac:dyDescent="0.2">
      <c r="A101" s="97">
        <v>9</v>
      </c>
      <c r="B101" s="15"/>
      <c r="C101" s="15"/>
      <c r="D101" s="15"/>
      <c r="E101" s="87"/>
      <c r="F101" s="87"/>
      <c r="G101" s="88"/>
      <c r="H101" s="14"/>
      <c r="I101" s="14"/>
    </row>
    <row r="102" spans="1:9" ht="13.5" thickBot="1" x14ac:dyDescent="0.25">
      <c r="A102" s="109">
        <v>10</v>
      </c>
      <c r="B102" s="110"/>
      <c r="C102" s="110"/>
      <c r="D102" s="111"/>
      <c r="E102" s="99"/>
      <c r="F102" s="99"/>
      <c r="G102" s="101"/>
      <c r="H102" s="14"/>
      <c r="I102" s="14"/>
    </row>
    <row r="103" spans="1:9" x14ac:dyDescent="0.2">
      <c r="A103" s="14"/>
      <c r="B103" s="14"/>
      <c r="C103" s="14"/>
      <c r="D103" s="14"/>
      <c r="E103" s="14"/>
      <c r="F103" s="14"/>
      <c r="G103" s="14"/>
      <c r="H103" s="14"/>
      <c r="I103" s="14"/>
    </row>
    <row r="104" spans="1:9" ht="13.5" thickBot="1" x14ac:dyDescent="0.25">
      <c r="A104" s="14"/>
      <c r="B104" s="14"/>
      <c r="C104" s="14"/>
      <c r="D104" s="14"/>
      <c r="E104" s="14"/>
      <c r="F104" s="14"/>
      <c r="G104" s="14"/>
      <c r="H104" s="14"/>
      <c r="I104" s="14"/>
    </row>
    <row r="105" spans="1:9" x14ac:dyDescent="0.2">
      <c r="A105" s="82" t="s">
        <v>680</v>
      </c>
      <c r="B105" s="84"/>
      <c r="C105" s="84"/>
      <c r="D105" s="84"/>
      <c r="E105" s="84"/>
      <c r="F105" s="84"/>
      <c r="G105" s="85"/>
      <c r="H105" s="14"/>
      <c r="I105" s="14"/>
    </row>
    <row r="106" spans="1:9" x14ac:dyDescent="0.2">
      <c r="A106" s="86" t="s">
        <v>681</v>
      </c>
      <c r="B106" s="45"/>
      <c r="C106" s="45" t="s">
        <v>682</v>
      </c>
      <c r="D106" s="50"/>
      <c r="E106" s="50"/>
      <c r="F106" s="50"/>
      <c r="G106" s="88"/>
      <c r="H106" s="14"/>
      <c r="I106" s="14"/>
    </row>
    <row r="107" spans="1:9" x14ac:dyDescent="0.2">
      <c r="A107" s="89" t="s">
        <v>769</v>
      </c>
      <c r="B107" s="50"/>
      <c r="C107" s="90"/>
      <c r="D107" s="50"/>
      <c r="E107" s="50"/>
      <c r="F107" s="50"/>
      <c r="G107" s="88"/>
      <c r="H107" s="14"/>
      <c r="I107" s="14"/>
    </row>
    <row r="108" spans="1:9" x14ac:dyDescent="0.2">
      <c r="A108" s="86" t="s">
        <v>674</v>
      </c>
      <c r="B108" s="45" t="s">
        <v>683</v>
      </c>
      <c r="C108" s="45" t="s">
        <v>684</v>
      </c>
      <c r="D108" s="45" t="s">
        <v>642</v>
      </c>
      <c r="E108" s="45" t="s">
        <v>685</v>
      </c>
      <c r="F108" s="13"/>
      <c r="G108" s="143"/>
      <c r="H108" s="14"/>
      <c r="I108" s="14"/>
    </row>
    <row r="109" spans="1:9" x14ac:dyDescent="0.2">
      <c r="A109" s="96">
        <v>10</v>
      </c>
      <c r="B109" s="87">
        <v>1</v>
      </c>
      <c r="C109" s="87">
        <v>1990</v>
      </c>
      <c r="D109" s="87">
        <v>312</v>
      </c>
      <c r="E109" s="87">
        <v>10</v>
      </c>
      <c r="F109" s="15"/>
      <c r="G109" s="144"/>
      <c r="H109" s="14"/>
      <c r="I109" s="14"/>
    </row>
    <row r="110" spans="1:9" x14ac:dyDescent="0.2">
      <c r="A110" s="102"/>
      <c r="B110" s="50"/>
      <c r="C110" s="50"/>
      <c r="D110" s="50"/>
      <c r="E110" s="50"/>
      <c r="F110" s="50"/>
      <c r="G110" s="88"/>
      <c r="H110" s="14"/>
      <c r="I110" s="14"/>
    </row>
    <row r="111" spans="1:9" x14ac:dyDescent="0.2">
      <c r="A111" s="103" t="s">
        <v>104</v>
      </c>
      <c r="B111" s="15">
        <v>2</v>
      </c>
      <c r="C111" s="6"/>
      <c r="D111" s="14"/>
      <c r="E111" s="139" t="s">
        <v>711</v>
      </c>
      <c r="F111" s="87">
        <v>2</v>
      </c>
      <c r="G111" s="141" t="s">
        <v>686</v>
      </c>
      <c r="H111" s="14"/>
      <c r="I111" s="14"/>
    </row>
    <row r="112" spans="1:9" x14ac:dyDescent="0.2">
      <c r="A112" s="104" t="s">
        <v>84</v>
      </c>
      <c r="B112" s="15">
        <v>2</v>
      </c>
      <c r="C112" s="14"/>
      <c r="D112" s="14"/>
      <c r="E112" s="145" t="s">
        <v>718</v>
      </c>
      <c r="F112" s="87"/>
      <c r="G112" s="92">
        <v>0.5</v>
      </c>
      <c r="H112" s="14"/>
      <c r="I112" s="14"/>
    </row>
    <row r="113" spans="1:9" x14ac:dyDescent="0.2">
      <c r="A113" s="104" t="s">
        <v>659</v>
      </c>
      <c r="B113" s="15">
        <v>1</v>
      </c>
      <c r="C113" s="14"/>
      <c r="D113" s="14"/>
      <c r="E113" s="145" t="s">
        <v>712</v>
      </c>
      <c r="F113" s="87"/>
      <c r="G113" s="146"/>
      <c r="H113" s="14"/>
      <c r="I113" s="14"/>
    </row>
    <row r="114" spans="1:9" x14ac:dyDescent="0.2">
      <c r="A114" s="105"/>
      <c r="B114" s="106" t="s">
        <v>673</v>
      </c>
      <c r="C114" s="106" t="s">
        <v>57</v>
      </c>
      <c r="D114" s="106" t="s">
        <v>100</v>
      </c>
      <c r="E114" s="140" t="s">
        <v>713</v>
      </c>
      <c r="F114" s="140" t="s">
        <v>714</v>
      </c>
      <c r="G114" s="142"/>
      <c r="H114" s="14"/>
      <c r="I114" s="14"/>
    </row>
    <row r="115" spans="1:9" x14ac:dyDescent="0.2">
      <c r="A115" s="105" t="s">
        <v>717</v>
      </c>
      <c r="B115" s="107" t="s">
        <v>72</v>
      </c>
      <c r="C115" s="107" t="s">
        <v>113</v>
      </c>
      <c r="D115" s="107" t="s">
        <v>63</v>
      </c>
      <c r="E115" s="140" t="s">
        <v>716</v>
      </c>
      <c r="F115" s="140" t="s">
        <v>715</v>
      </c>
      <c r="G115" s="142"/>
      <c r="H115" s="14"/>
      <c r="I115" s="14"/>
    </row>
    <row r="116" spans="1:9" x14ac:dyDescent="0.2">
      <c r="A116" s="108">
        <v>1</v>
      </c>
      <c r="B116" s="8">
        <v>1</v>
      </c>
      <c r="C116" s="8">
        <v>1</v>
      </c>
      <c r="D116" s="8">
        <v>3</v>
      </c>
      <c r="E116" s="73"/>
      <c r="F116" s="87"/>
      <c r="G116" s="88"/>
      <c r="H116" s="14"/>
      <c r="I116" s="14"/>
    </row>
    <row r="117" spans="1:9" x14ac:dyDescent="0.2">
      <c r="A117" s="108">
        <v>2</v>
      </c>
      <c r="B117" s="8">
        <v>30</v>
      </c>
      <c r="C117" s="8">
        <v>4.5999999999999996</v>
      </c>
      <c r="D117" s="8">
        <v>10</v>
      </c>
      <c r="E117" s="87"/>
      <c r="F117" s="87"/>
      <c r="G117" s="88"/>
      <c r="H117" s="14"/>
      <c r="I117" s="14"/>
    </row>
    <row r="118" spans="1:9" x14ac:dyDescent="0.2">
      <c r="A118" s="108">
        <v>3</v>
      </c>
      <c r="B118" s="8"/>
      <c r="C118" s="8"/>
      <c r="D118" s="8"/>
      <c r="E118" s="87"/>
      <c r="F118" s="87"/>
      <c r="G118" s="88"/>
      <c r="H118" s="14"/>
      <c r="I118" s="14"/>
    </row>
    <row r="119" spans="1:9" x14ac:dyDescent="0.2">
      <c r="A119" s="97">
        <v>4</v>
      </c>
      <c r="B119" s="15"/>
      <c r="C119" s="8"/>
      <c r="D119" s="8"/>
      <c r="E119" s="87"/>
      <c r="F119" s="87"/>
      <c r="G119" s="88"/>
      <c r="H119" s="14"/>
      <c r="I119" s="14"/>
    </row>
    <row r="120" spans="1:9" x14ac:dyDescent="0.2">
      <c r="A120" s="97">
        <v>5</v>
      </c>
      <c r="B120" s="15"/>
      <c r="C120" s="15"/>
      <c r="D120" s="15"/>
      <c r="E120" s="87"/>
      <c r="F120" s="87"/>
      <c r="G120" s="88"/>
      <c r="H120" s="14"/>
      <c r="I120" s="14"/>
    </row>
    <row r="121" spans="1:9" x14ac:dyDescent="0.2">
      <c r="A121" s="97">
        <v>6</v>
      </c>
      <c r="B121" s="15"/>
      <c r="C121" s="15"/>
      <c r="D121" s="15"/>
      <c r="E121" s="87"/>
      <c r="F121" s="87"/>
      <c r="G121" s="88"/>
      <c r="H121" s="14"/>
      <c r="I121" s="14"/>
    </row>
    <row r="122" spans="1:9" x14ac:dyDescent="0.2">
      <c r="A122" s="97">
        <v>7</v>
      </c>
      <c r="B122" s="15"/>
      <c r="C122" s="15"/>
      <c r="D122" s="15"/>
      <c r="E122" s="87"/>
      <c r="F122" s="87"/>
      <c r="G122" s="88"/>
      <c r="H122" s="14"/>
      <c r="I122" s="14"/>
    </row>
    <row r="123" spans="1:9" x14ac:dyDescent="0.2">
      <c r="A123" s="97">
        <v>8</v>
      </c>
      <c r="B123" s="15"/>
      <c r="C123" s="15"/>
      <c r="D123" s="15"/>
      <c r="E123" s="87"/>
      <c r="F123" s="87"/>
      <c r="G123" s="88"/>
      <c r="H123" s="14"/>
      <c r="I123" s="14"/>
    </row>
    <row r="124" spans="1:9" x14ac:dyDescent="0.2">
      <c r="A124" s="97">
        <v>9</v>
      </c>
      <c r="B124" s="15"/>
      <c r="C124" s="15"/>
      <c r="D124" s="15"/>
      <c r="E124" s="87"/>
      <c r="F124" s="87"/>
      <c r="G124" s="88"/>
      <c r="H124" s="14"/>
      <c r="I124" s="14"/>
    </row>
    <row r="125" spans="1:9" ht="13.5" thickBot="1" x14ac:dyDescent="0.25">
      <c r="A125" s="109">
        <v>10</v>
      </c>
      <c r="B125" s="110"/>
      <c r="C125" s="110"/>
      <c r="D125" s="111"/>
      <c r="E125" s="99"/>
      <c r="F125" s="99"/>
      <c r="G125" s="101"/>
      <c r="H125" s="14"/>
      <c r="I125" s="14"/>
    </row>
    <row r="126" spans="1:9" x14ac:dyDescent="0.2">
      <c r="A126" s="14"/>
      <c r="B126" s="14"/>
      <c r="C126" s="14"/>
      <c r="D126" s="14"/>
      <c r="E126" s="14"/>
      <c r="F126" s="14"/>
      <c r="G126" s="14"/>
      <c r="H126" s="14"/>
      <c r="I126" s="14"/>
    </row>
    <row r="127" spans="1:9" ht="13.5" thickBot="1" x14ac:dyDescent="0.25">
      <c r="A127" s="14"/>
      <c r="B127" s="14"/>
      <c r="C127" s="14"/>
      <c r="D127" s="14"/>
      <c r="E127" s="14"/>
      <c r="F127" s="14"/>
      <c r="G127" s="14"/>
      <c r="H127" s="14"/>
      <c r="I127" s="14"/>
    </row>
    <row r="128" spans="1:9" x14ac:dyDescent="0.2">
      <c r="A128" s="82" t="s">
        <v>680</v>
      </c>
      <c r="B128" s="84"/>
      <c r="C128" s="84"/>
      <c r="D128" s="84"/>
      <c r="E128" s="84"/>
      <c r="F128" s="84"/>
      <c r="G128" s="85"/>
      <c r="H128" s="14"/>
      <c r="I128" s="14"/>
    </row>
    <row r="129" spans="1:9" x14ac:dyDescent="0.2">
      <c r="A129" s="86" t="s">
        <v>681</v>
      </c>
      <c r="B129" s="45"/>
      <c r="C129" s="45" t="s">
        <v>682</v>
      </c>
      <c r="D129" s="50"/>
      <c r="E129" s="50"/>
      <c r="F129" s="50"/>
      <c r="G129" s="88"/>
      <c r="H129" s="14"/>
      <c r="I129" s="14"/>
    </row>
    <row r="130" spans="1:9" x14ac:dyDescent="0.2">
      <c r="A130" s="89" t="s">
        <v>770</v>
      </c>
      <c r="B130" s="50"/>
      <c r="C130" s="90"/>
      <c r="D130" s="50"/>
      <c r="E130" s="50"/>
      <c r="F130" s="50"/>
      <c r="G130" s="88"/>
      <c r="H130" s="14"/>
      <c r="I130" s="14"/>
    </row>
    <row r="131" spans="1:9" x14ac:dyDescent="0.2">
      <c r="A131" s="86" t="s">
        <v>674</v>
      </c>
      <c r="B131" s="45" t="s">
        <v>683</v>
      </c>
      <c r="C131" s="45" t="s">
        <v>684</v>
      </c>
      <c r="D131" s="45" t="s">
        <v>642</v>
      </c>
      <c r="E131" s="45" t="s">
        <v>685</v>
      </c>
      <c r="F131" s="13"/>
      <c r="G131" s="143"/>
      <c r="H131" s="14"/>
      <c r="I131" s="14"/>
    </row>
    <row r="132" spans="1:9" x14ac:dyDescent="0.2">
      <c r="A132" s="96">
        <v>10</v>
      </c>
      <c r="B132" s="87">
        <v>1</v>
      </c>
      <c r="C132" s="87">
        <v>1990</v>
      </c>
      <c r="D132" s="87">
        <v>312</v>
      </c>
      <c r="E132" s="87">
        <v>10</v>
      </c>
      <c r="F132" s="15"/>
      <c r="G132" s="144"/>
      <c r="H132" s="14"/>
      <c r="I132" s="14"/>
    </row>
    <row r="133" spans="1:9" x14ac:dyDescent="0.2">
      <c r="A133" s="102"/>
      <c r="B133" s="50"/>
      <c r="C133" s="50"/>
      <c r="D133" s="50"/>
      <c r="E133" s="50"/>
      <c r="F133" s="50"/>
      <c r="G133" s="88"/>
      <c r="H133" s="14"/>
      <c r="I133" s="14"/>
    </row>
    <row r="134" spans="1:9" x14ac:dyDescent="0.2">
      <c r="A134" s="103" t="s">
        <v>104</v>
      </c>
      <c r="B134" s="15">
        <v>2</v>
      </c>
      <c r="C134" s="6"/>
      <c r="D134" s="14"/>
      <c r="E134" s="139" t="s">
        <v>711</v>
      </c>
      <c r="F134" s="87">
        <v>1</v>
      </c>
      <c r="G134" s="141" t="s">
        <v>686</v>
      </c>
      <c r="H134" s="14"/>
      <c r="I134" s="14"/>
    </row>
    <row r="135" spans="1:9" x14ac:dyDescent="0.2">
      <c r="A135" s="104" t="s">
        <v>84</v>
      </c>
      <c r="B135" s="15">
        <v>2</v>
      </c>
      <c r="C135" s="14"/>
      <c r="D135" s="14"/>
      <c r="E135" s="145" t="s">
        <v>718</v>
      </c>
      <c r="F135" s="87"/>
      <c r="G135" s="92">
        <v>0.5</v>
      </c>
      <c r="H135" s="14"/>
      <c r="I135" s="14"/>
    </row>
    <row r="136" spans="1:9" x14ac:dyDescent="0.2">
      <c r="A136" s="104" t="s">
        <v>659</v>
      </c>
      <c r="B136" s="15">
        <v>1</v>
      </c>
      <c r="C136" s="14"/>
      <c r="D136" s="14"/>
      <c r="E136" s="145" t="s">
        <v>712</v>
      </c>
      <c r="F136" s="87"/>
      <c r="G136" s="146"/>
      <c r="H136" s="14"/>
      <c r="I136" s="14"/>
    </row>
    <row r="137" spans="1:9" x14ac:dyDescent="0.2">
      <c r="A137" s="105"/>
      <c r="B137" s="106" t="s">
        <v>673</v>
      </c>
      <c r="C137" s="106" t="s">
        <v>57</v>
      </c>
      <c r="D137" s="106" t="s">
        <v>100</v>
      </c>
      <c r="E137" s="140" t="s">
        <v>713</v>
      </c>
      <c r="F137" s="140" t="s">
        <v>714</v>
      </c>
      <c r="G137" s="142"/>
      <c r="H137" s="14"/>
      <c r="I137" s="14"/>
    </row>
    <row r="138" spans="1:9" x14ac:dyDescent="0.2">
      <c r="A138" s="105" t="s">
        <v>717</v>
      </c>
      <c r="B138" s="107" t="s">
        <v>72</v>
      </c>
      <c r="C138" s="107" t="s">
        <v>113</v>
      </c>
      <c r="D138" s="107" t="s">
        <v>63</v>
      </c>
      <c r="E138" s="140" t="s">
        <v>716</v>
      </c>
      <c r="F138" s="140" t="s">
        <v>715</v>
      </c>
      <c r="G138" s="142"/>
      <c r="H138" s="14"/>
      <c r="I138" s="14"/>
    </row>
    <row r="139" spans="1:9" x14ac:dyDescent="0.2">
      <c r="A139" s="108">
        <v>1</v>
      </c>
      <c r="B139" s="8">
        <v>1</v>
      </c>
      <c r="C139" s="8">
        <v>1</v>
      </c>
      <c r="D139" s="8">
        <v>3</v>
      </c>
      <c r="E139" s="73"/>
      <c r="F139" s="87"/>
      <c r="G139" s="88"/>
      <c r="H139" s="14"/>
      <c r="I139" s="14"/>
    </row>
    <row r="140" spans="1:9" x14ac:dyDescent="0.2">
      <c r="A140" s="108">
        <v>2</v>
      </c>
      <c r="B140" s="8">
        <v>30</v>
      </c>
      <c r="C140" s="8">
        <v>4.5999999999999996</v>
      </c>
      <c r="D140" s="8">
        <v>10</v>
      </c>
      <c r="E140" s="87"/>
      <c r="F140" s="87"/>
      <c r="G140" s="88"/>
      <c r="H140" s="14"/>
      <c r="I140" s="14"/>
    </row>
    <row r="141" spans="1:9" x14ac:dyDescent="0.2">
      <c r="A141" s="108">
        <v>3</v>
      </c>
      <c r="B141" s="8"/>
      <c r="C141" s="8"/>
      <c r="D141" s="8"/>
      <c r="E141" s="87"/>
      <c r="F141" s="87"/>
      <c r="G141" s="88"/>
      <c r="H141" s="14"/>
      <c r="I141" s="14"/>
    </row>
    <row r="142" spans="1:9" x14ac:dyDescent="0.2">
      <c r="A142" s="97">
        <v>4</v>
      </c>
      <c r="B142" s="15"/>
      <c r="C142" s="8"/>
      <c r="D142" s="8"/>
      <c r="E142" s="87"/>
      <c r="F142" s="87"/>
      <c r="G142" s="88"/>
      <c r="H142" s="14"/>
      <c r="I142" s="14"/>
    </row>
    <row r="143" spans="1:9" x14ac:dyDescent="0.2">
      <c r="A143" s="97">
        <v>5</v>
      </c>
      <c r="B143" s="15"/>
      <c r="C143" s="15"/>
      <c r="D143" s="15"/>
      <c r="E143" s="87"/>
      <c r="F143" s="87"/>
      <c r="G143" s="88"/>
      <c r="H143" s="14"/>
      <c r="I143" s="14"/>
    </row>
    <row r="144" spans="1:9" x14ac:dyDescent="0.2">
      <c r="A144" s="97">
        <v>6</v>
      </c>
      <c r="B144" s="15"/>
      <c r="C144" s="15"/>
      <c r="D144" s="15"/>
      <c r="E144" s="87"/>
      <c r="F144" s="87"/>
      <c r="G144" s="88"/>
      <c r="H144" s="14"/>
      <c r="I144" s="14"/>
    </row>
    <row r="145" spans="1:9" x14ac:dyDescent="0.2">
      <c r="A145" s="97">
        <v>7</v>
      </c>
      <c r="B145" s="15"/>
      <c r="C145" s="15"/>
      <c r="D145" s="15"/>
      <c r="E145" s="87"/>
      <c r="F145" s="87"/>
      <c r="G145" s="88"/>
      <c r="H145" s="14"/>
      <c r="I145" s="14"/>
    </row>
    <row r="146" spans="1:9" x14ac:dyDescent="0.2">
      <c r="A146" s="97">
        <v>8</v>
      </c>
      <c r="B146" s="15"/>
      <c r="C146" s="15"/>
      <c r="D146" s="15"/>
      <c r="E146" s="87"/>
      <c r="F146" s="87"/>
      <c r="G146" s="88"/>
      <c r="H146" s="14"/>
      <c r="I146" s="14"/>
    </row>
    <row r="147" spans="1:9" x14ac:dyDescent="0.2">
      <c r="A147" s="97">
        <v>9</v>
      </c>
      <c r="B147" s="15"/>
      <c r="C147" s="15"/>
      <c r="D147" s="15"/>
      <c r="E147" s="87"/>
      <c r="F147" s="87"/>
      <c r="G147" s="88"/>
      <c r="H147" s="14"/>
      <c r="I147" s="14"/>
    </row>
    <row r="148" spans="1:9" ht="13.5" thickBot="1" x14ac:dyDescent="0.25">
      <c r="A148" s="109">
        <v>10</v>
      </c>
      <c r="B148" s="110"/>
      <c r="C148" s="110"/>
      <c r="D148" s="111"/>
      <c r="E148" s="99"/>
      <c r="F148" s="99"/>
      <c r="G148" s="101"/>
      <c r="H148" s="14"/>
      <c r="I148" s="14"/>
    </row>
    <row r="149" spans="1:9" x14ac:dyDescent="0.2">
      <c r="A149" s="14"/>
      <c r="B149" s="14"/>
      <c r="C149" s="14"/>
      <c r="D149" s="14"/>
      <c r="E149" s="14"/>
      <c r="F149" s="14"/>
      <c r="G149" s="14"/>
      <c r="H149" s="14"/>
      <c r="I149" s="14"/>
    </row>
    <row r="150" spans="1:9" ht="13.5" thickBot="1" x14ac:dyDescent="0.25">
      <c r="A150" s="14"/>
      <c r="B150" s="14"/>
      <c r="C150" s="14"/>
      <c r="D150" s="14"/>
      <c r="E150" s="14"/>
      <c r="F150" s="14"/>
      <c r="G150" s="14"/>
      <c r="H150" s="14"/>
      <c r="I150" s="14"/>
    </row>
    <row r="151" spans="1:9" x14ac:dyDescent="0.2">
      <c r="A151" s="82" t="s">
        <v>680</v>
      </c>
      <c r="B151" s="84"/>
      <c r="C151" s="84"/>
      <c r="D151" s="84"/>
      <c r="E151" s="84"/>
      <c r="F151" s="84"/>
      <c r="G151" s="85"/>
      <c r="H151" s="14"/>
      <c r="I151" s="14"/>
    </row>
    <row r="152" spans="1:9" x14ac:dyDescent="0.2">
      <c r="A152" s="86" t="s">
        <v>681</v>
      </c>
      <c r="B152" s="45"/>
      <c r="C152" s="45" t="s">
        <v>682</v>
      </c>
      <c r="D152" s="50"/>
      <c r="E152" s="50"/>
      <c r="F152" s="50"/>
      <c r="G152" s="88"/>
      <c r="H152" s="14"/>
      <c r="I152" s="14"/>
    </row>
    <row r="153" spans="1:9" x14ac:dyDescent="0.2">
      <c r="A153" s="89" t="s">
        <v>826</v>
      </c>
      <c r="B153" s="50"/>
      <c r="C153" s="90"/>
      <c r="D153" s="50"/>
      <c r="E153" s="50"/>
      <c r="F153" s="50"/>
      <c r="G153" s="88"/>
      <c r="H153" s="14"/>
      <c r="I153" s="14"/>
    </row>
    <row r="154" spans="1:9" x14ac:dyDescent="0.2">
      <c r="A154" s="86" t="s">
        <v>674</v>
      </c>
      <c r="B154" s="45" t="s">
        <v>683</v>
      </c>
      <c r="C154" s="45" t="s">
        <v>684</v>
      </c>
      <c r="D154" s="45" t="s">
        <v>642</v>
      </c>
      <c r="E154" s="45" t="s">
        <v>685</v>
      </c>
      <c r="F154" s="13"/>
      <c r="G154" s="143"/>
      <c r="H154" s="14"/>
      <c r="I154" s="14"/>
    </row>
    <row r="155" spans="1:9" x14ac:dyDescent="0.2">
      <c r="A155" s="96">
        <v>10</v>
      </c>
      <c r="B155" s="87">
        <v>1</v>
      </c>
      <c r="C155" s="87">
        <v>2000</v>
      </c>
      <c r="D155" s="87">
        <v>185</v>
      </c>
      <c r="E155" s="87">
        <v>7</v>
      </c>
      <c r="F155" s="15"/>
      <c r="G155" s="144"/>
      <c r="H155" s="14"/>
      <c r="I155" s="14"/>
    </row>
    <row r="156" spans="1:9" x14ac:dyDescent="0.2">
      <c r="A156" s="102"/>
      <c r="B156" s="50"/>
      <c r="C156" s="50"/>
      <c r="D156" s="50"/>
      <c r="E156" s="50"/>
      <c r="F156" s="50"/>
      <c r="G156" s="88"/>
      <c r="H156" s="14"/>
      <c r="I156" s="14"/>
    </row>
    <row r="157" spans="1:9" x14ac:dyDescent="0.2">
      <c r="A157" s="103" t="s">
        <v>104</v>
      </c>
      <c r="B157" s="15">
        <v>2</v>
      </c>
      <c r="C157" s="6"/>
      <c r="D157" s="14"/>
      <c r="E157" s="139" t="s">
        <v>711</v>
      </c>
      <c r="F157" s="87">
        <v>1</v>
      </c>
      <c r="G157" s="141" t="s">
        <v>686</v>
      </c>
      <c r="H157" s="14"/>
      <c r="I157" s="14"/>
    </row>
    <row r="158" spans="1:9" x14ac:dyDescent="0.2">
      <c r="A158" s="104" t="s">
        <v>84</v>
      </c>
      <c r="B158" s="15">
        <v>3</v>
      </c>
      <c r="C158" s="14"/>
      <c r="D158" s="14"/>
      <c r="E158" s="145" t="s">
        <v>718</v>
      </c>
      <c r="F158" s="87">
        <v>1</v>
      </c>
      <c r="G158" s="92">
        <v>0.5</v>
      </c>
      <c r="H158" s="14"/>
      <c r="I158" s="14"/>
    </row>
    <row r="159" spans="1:9" x14ac:dyDescent="0.2">
      <c r="A159" s="104" t="s">
        <v>659</v>
      </c>
      <c r="B159" s="15">
        <v>2</v>
      </c>
      <c r="C159" s="14"/>
      <c r="D159" s="14"/>
      <c r="E159" s="145" t="s">
        <v>712</v>
      </c>
      <c r="F159" s="87">
        <v>2</v>
      </c>
      <c r="G159" s="146"/>
      <c r="H159" s="14"/>
      <c r="I159" s="14"/>
    </row>
    <row r="160" spans="1:9" x14ac:dyDescent="0.2">
      <c r="A160" s="105"/>
      <c r="B160" s="106" t="s">
        <v>673</v>
      </c>
      <c r="C160" s="106" t="s">
        <v>57</v>
      </c>
      <c r="D160" s="106" t="s">
        <v>100</v>
      </c>
      <c r="E160" s="140" t="s">
        <v>713</v>
      </c>
      <c r="F160" s="140" t="s">
        <v>714</v>
      </c>
      <c r="G160" s="142"/>
      <c r="H160" s="14"/>
      <c r="I160" s="14"/>
    </row>
    <row r="161" spans="1:9" x14ac:dyDescent="0.2">
      <c r="A161" s="105" t="s">
        <v>717</v>
      </c>
      <c r="B161" s="107" t="s">
        <v>72</v>
      </c>
      <c r="C161" s="107" t="s">
        <v>113</v>
      </c>
      <c r="D161" s="107" t="s">
        <v>63</v>
      </c>
      <c r="E161" s="140" t="s">
        <v>716</v>
      </c>
      <c r="F161" s="140" t="s">
        <v>715</v>
      </c>
      <c r="G161" s="142"/>
      <c r="H161" s="14"/>
      <c r="I161" s="14"/>
    </row>
    <row r="162" spans="1:9" x14ac:dyDescent="0.2">
      <c r="A162" s="108">
        <v>1</v>
      </c>
      <c r="B162" s="8">
        <v>1</v>
      </c>
      <c r="C162" s="8">
        <v>6.12</v>
      </c>
      <c r="D162" s="8">
        <v>3</v>
      </c>
      <c r="E162" s="73">
        <v>39</v>
      </c>
      <c r="F162" s="87">
        <v>60</v>
      </c>
      <c r="G162" s="88"/>
      <c r="H162" s="14"/>
      <c r="I162" s="14"/>
    </row>
    <row r="163" spans="1:9" x14ac:dyDescent="0.2">
      <c r="A163" s="108">
        <v>2</v>
      </c>
      <c r="B163" s="8">
        <v>9</v>
      </c>
      <c r="C163" s="8">
        <v>6.12</v>
      </c>
      <c r="D163" s="8">
        <v>10</v>
      </c>
      <c r="E163" s="87"/>
      <c r="F163" s="87"/>
      <c r="G163" s="88"/>
      <c r="H163" s="14"/>
      <c r="I163" s="14"/>
    </row>
    <row r="164" spans="1:9" x14ac:dyDescent="0.2">
      <c r="A164" s="108">
        <v>3</v>
      </c>
      <c r="B164" s="8">
        <v>12</v>
      </c>
      <c r="C164" s="8">
        <v>6.12</v>
      </c>
      <c r="D164" s="8">
        <v>10</v>
      </c>
      <c r="E164" s="87"/>
      <c r="F164" s="87"/>
      <c r="G164" s="88"/>
      <c r="H164" s="14"/>
      <c r="I164" s="14"/>
    </row>
    <row r="165" spans="1:9" x14ac:dyDescent="0.2">
      <c r="A165" s="97">
        <v>4</v>
      </c>
      <c r="B165" s="15"/>
      <c r="C165" s="8"/>
      <c r="D165" s="8"/>
      <c r="E165" s="87"/>
      <c r="F165" s="87"/>
      <c r="G165" s="88"/>
      <c r="H165" s="14"/>
      <c r="I165" s="14"/>
    </row>
    <row r="166" spans="1:9" x14ac:dyDescent="0.2">
      <c r="A166" s="97">
        <v>5</v>
      </c>
      <c r="B166" s="15"/>
      <c r="C166" s="15"/>
      <c r="D166" s="15"/>
      <c r="E166" s="87"/>
      <c r="F166" s="87"/>
      <c r="G166" s="88"/>
      <c r="H166" s="14"/>
      <c r="I166" s="14"/>
    </row>
    <row r="167" spans="1:9" x14ac:dyDescent="0.2">
      <c r="A167" s="97">
        <v>6</v>
      </c>
      <c r="B167" s="15"/>
      <c r="C167" s="15"/>
      <c r="D167" s="15"/>
      <c r="E167" s="87"/>
      <c r="F167" s="87"/>
      <c r="G167" s="88"/>
      <c r="H167" s="14"/>
      <c r="I167" s="14">
        <f>133*0.46</f>
        <v>61.18</v>
      </c>
    </row>
    <row r="168" spans="1:9" x14ac:dyDescent="0.2">
      <c r="A168" s="97">
        <v>7</v>
      </c>
      <c r="B168" s="15"/>
      <c r="C168" s="15"/>
      <c r="D168" s="15"/>
      <c r="E168" s="87"/>
      <c r="F168" s="87"/>
      <c r="G168" s="88"/>
      <c r="H168" s="14"/>
      <c r="I168" s="14"/>
    </row>
    <row r="169" spans="1:9" x14ac:dyDescent="0.2">
      <c r="A169" s="97">
        <v>8</v>
      </c>
      <c r="B169" s="15"/>
      <c r="C169" s="15"/>
      <c r="D169" s="15"/>
      <c r="E169" s="87"/>
      <c r="F169" s="87"/>
      <c r="G169" s="88"/>
      <c r="H169" s="14"/>
      <c r="I169" s="14"/>
    </row>
    <row r="170" spans="1:9" x14ac:dyDescent="0.2">
      <c r="A170" s="97">
        <v>9</v>
      </c>
      <c r="B170" s="15"/>
      <c r="C170" s="15"/>
      <c r="D170" s="15"/>
      <c r="E170" s="87"/>
      <c r="F170" s="87"/>
      <c r="G170" s="88"/>
      <c r="H170" s="14"/>
      <c r="I170" s="14"/>
    </row>
    <row r="171" spans="1:9" ht="13.5" thickBot="1" x14ac:dyDescent="0.25">
      <c r="A171" s="109">
        <v>10</v>
      </c>
      <c r="B171" s="110"/>
      <c r="C171" s="110"/>
      <c r="D171" s="111"/>
      <c r="E171" s="99"/>
      <c r="F171" s="99"/>
      <c r="G171" s="101"/>
      <c r="H171" s="14"/>
      <c r="I171" s="14"/>
    </row>
    <row r="172" spans="1:9" x14ac:dyDescent="0.2">
      <c r="A172" s="14"/>
      <c r="B172" s="14"/>
      <c r="C172" s="14"/>
      <c r="D172" s="14"/>
      <c r="E172" s="14"/>
      <c r="F172" s="14"/>
      <c r="G172" s="14"/>
      <c r="H172" s="14"/>
      <c r="I172" s="14"/>
    </row>
    <row r="173" spans="1:9" x14ac:dyDescent="0.2">
      <c r="A173" s="14"/>
      <c r="B173" s="14"/>
      <c r="C173" s="14"/>
      <c r="D173" s="14"/>
      <c r="E173" s="14"/>
      <c r="F173" s="14"/>
      <c r="G173" s="14"/>
      <c r="H173" s="14"/>
      <c r="I173" s="14"/>
    </row>
    <row r="174" spans="1:9" x14ac:dyDescent="0.2">
      <c r="A174" s="14"/>
      <c r="B174" s="14"/>
      <c r="C174" s="14"/>
      <c r="D174" s="14"/>
      <c r="E174" s="14"/>
      <c r="F174" s="14"/>
      <c r="G174" s="14"/>
      <c r="H174" s="14"/>
      <c r="I174" s="14"/>
    </row>
    <row r="175" spans="1:9" x14ac:dyDescent="0.2">
      <c r="A175" s="14"/>
      <c r="B175" s="14"/>
      <c r="C175" s="14"/>
      <c r="D175" s="14"/>
      <c r="E175" s="14"/>
      <c r="F175" s="14"/>
      <c r="G175" s="14"/>
      <c r="H175" s="14"/>
      <c r="I175" s="14"/>
    </row>
    <row r="176" spans="1:9" x14ac:dyDescent="0.2">
      <c r="A176" s="14"/>
      <c r="B176" s="14"/>
      <c r="C176" s="14"/>
      <c r="D176" s="14"/>
      <c r="E176" s="14"/>
      <c r="F176" s="14"/>
      <c r="G176" s="14"/>
      <c r="H176" s="14"/>
      <c r="I176" s="14"/>
    </row>
    <row r="177" spans="1:9" x14ac:dyDescent="0.2">
      <c r="A177" s="14"/>
      <c r="B177" s="14"/>
      <c r="C177" s="14"/>
      <c r="D177" s="14"/>
      <c r="E177" s="14"/>
      <c r="F177" s="14"/>
      <c r="G177" s="14"/>
      <c r="H177" s="14"/>
      <c r="I177" s="14"/>
    </row>
    <row r="178" spans="1:9" x14ac:dyDescent="0.2">
      <c r="A178" s="14"/>
      <c r="B178" s="14"/>
      <c r="C178" s="14"/>
      <c r="D178" s="14"/>
      <c r="E178" s="14"/>
      <c r="F178" s="14"/>
      <c r="G178" s="14"/>
      <c r="H178" s="14"/>
      <c r="I178" s="14"/>
    </row>
    <row r="179" spans="1:9" x14ac:dyDescent="0.2">
      <c r="A179" s="14"/>
      <c r="B179" s="14"/>
      <c r="C179" s="14"/>
      <c r="D179" s="14"/>
      <c r="E179" s="14"/>
      <c r="F179" s="14"/>
      <c r="G179" s="14"/>
      <c r="H179" s="14"/>
      <c r="I179" s="14"/>
    </row>
    <row r="180" spans="1:9" x14ac:dyDescent="0.2">
      <c r="A180" s="14"/>
      <c r="B180" s="14"/>
      <c r="C180" s="14"/>
      <c r="D180" s="14"/>
      <c r="E180" s="14"/>
      <c r="F180" s="14"/>
      <c r="G180" s="14"/>
      <c r="H180" s="14"/>
      <c r="I180" s="14"/>
    </row>
    <row r="181" spans="1:9" x14ac:dyDescent="0.2">
      <c r="A181" s="14"/>
      <c r="B181" s="14"/>
      <c r="C181" s="14"/>
      <c r="D181" s="14"/>
      <c r="E181" s="14"/>
      <c r="F181" s="14"/>
      <c r="G181" s="14"/>
      <c r="H181" s="14"/>
      <c r="I181" s="14"/>
    </row>
    <row r="182" spans="1:9" x14ac:dyDescent="0.2">
      <c r="A182" s="14"/>
      <c r="B182" s="14"/>
      <c r="C182" s="14"/>
      <c r="D182" s="14"/>
      <c r="E182" s="14"/>
      <c r="F182" s="14"/>
      <c r="G182" s="14"/>
      <c r="H182" s="14"/>
      <c r="I182" s="14"/>
    </row>
    <row r="183" spans="1:9" x14ac:dyDescent="0.2">
      <c r="A183" s="14"/>
      <c r="B183" s="14"/>
      <c r="C183" s="14"/>
      <c r="D183" s="14"/>
      <c r="E183" s="14"/>
      <c r="F183" s="14"/>
      <c r="G183" s="14"/>
      <c r="H183" s="14"/>
      <c r="I183" s="14"/>
    </row>
    <row r="184" spans="1:9" x14ac:dyDescent="0.2">
      <c r="A184" s="14"/>
      <c r="B184" s="14"/>
      <c r="C184" s="14"/>
      <c r="D184" s="14"/>
      <c r="E184" s="14"/>
      <c r="F184" s="14"/>
      <c r="G184" s="14"/>
      <c r="H184" s="14"/>
      <c r="I184" s="14"/>
    </row>
    <row r="185" spans="1:9" x14ac:dyDescent="0.2">
      <c r="A185" s="14"/>
      <c r="B185" s="14"/>
      <c r="C185" s="14"/>
      <c r="D185" s="14"/>
      <c r="E185" s="14"/>
      <c r="F185" s="14"/>
      <c r="G185" s="14"/>
      <c r="H185" s="14"/>
      <c r="I185" s="14"/>
    </row>
    <row r="186" spans="1:9" x14ac:dyDescent="0.2">
      <c r="A186" s="14"/>
      <c r="B186" s="14"/>
      <c r="C186" s="14"/>
      <c r="D186" s="14"/>
      <c r="E186" s="14"/>
      <c r="F186" s="14"/>
      <c r="G186" s="14"/>
      <c r="H186" s="14"/>
      <c r="I186" s="14"/>
    </row>
    <row r="187" spans="1:9" x14ac:dyDescent="0.2">
      <c r="A187" s="14"/>
      <c r="B187" s="14"/>
      <c r="C187" s="14"/>
      <c r="D187" s="14"/>
      <c r="E187" s="14"/>
      <c r="F187" s="14"/>
      <c r="G187" s="14"/>
      <c r="H187" s="14"/>
      <c r="I187" s="14"/>
    </row>
    <row r="188" spans="1:9" x14ac:dyDescent="0.2">
      <c r="A188" s="14"/>
      <c r="B188" s="14"/>
      <c r="C188" s="14"/>
      <c r="D188" s="14"/>
      <c r="E188" s="14"/>
      <c r="F188" s="14"/>
      <c r="G188" s="14"/>
      <c r="H188" s="14"/>
      <c r="I188" s="14"/>
    </row>
    <row r="189" spans="1:9" x14ac:dyDescent="0.2">
      <c r="A189" s="14"/>
      <c r="B189" s="14"/>
      <c r="C189" s="14"/>
      <c r="D189" s="14"/>
      <c r="E189" s="14"/>
      <c r="F189" s="14"/>
      <c r="G189" s="14"/>
      <c r="H189" s="14"/>
      <c r="I189" s="14"/>
    </row>
    <row r="190" spans="1:9" x14ac:dyDescent="0.2">
      <c r="A190" s="14"/>
      <c r="B190" s="14"/>
      <c r="C190" s="14"/>
      <c r="D190" s="14"/>
      <c r="E190" s="14"/>
      <c r="F190" s="14"/>
      <c r="G190" s="14"/>
      <c r="H190" s="14"/>
      <c r="I190" s="14"/>
    </row>
    <row r="191" spans="1:9" x14ac:dyDescent="0.2">
      <c r="A191" s="14"/>
      <c r="B191" s="14"/>
      <c r="C191" s="14"/>
      <c r="D191" s="14"/>
      <c r="E191" s="14"/>
      <c r="F191" s="14"/>
      <c r="G191" s="14"/>
      <c r="H191" s="14"/>
      <c r="I191" s="14"/>
    </row>
    <row r="192" spans="1:9" x14ac:dyDescent="0.2">
      <c r="A192" s="14"/>
      <c r="B192" s="14"/>
      <c r="C192" s="14"/>
      <c r="D192" s="14"/>
      <c r="E192" s="14"/>
      <c r="F192" s="14"/>
      <c r="G192" s="14"/>
      <c r="H192" s="14"/>
      <c r="I192" s="14"/>
    </row>
    <row r="193" spans="1:9" x14ac:dyDescent="0.2">
      <c r="A193" s="14"/>
      <c r="B193" s="14"/>
      <c r="C193" s="14"/>
      <c r="D193" s="14"/>
      <c r="E193" s="14"/>
      <c r="F193" s="14"/>
      <c r="G193" s="14"/>
      <c r="H193" s="14"/>
      <c r="I193" s="14"/>
    </row>
    <row r="194" spans="1:9" x14ac:dyDescent="0.2">
      <c r="A194" s="14"/>
      <c r="B194" s="14"/>
      <c r="C194" s="14"/>
      <c r="D194" s="14"/>
      <c r="E194" s="14"/>
      <c r="F194" s="14"/>
      <c r="G194" s="14"/>
      <c r="H194" s="14"/>
      <c r="I194" s="14"/>
    </row>
    <row r="195" spans="1:9" x14ac:dyDescent="0.2">
      <c r="A195" s="14"/>
      <c r="B195" s="14"/>
      <c r="C195" s="14"/>
      <c r="D195" s="14"/>
      <c r="E195" s="14"/>
      <c r="F195" s="14"/>
      <c r="G195" s="14"/>
      <c r="H195" s="14"/>
      <c r="I195" s="14"/>
    </row>
    <row r="196" spans="1:9" x14ac:dyDescent="0.2">
      <c r="A196" s="14"/>
      <c r="B196" s="14"/>
      <c r="C196" s="14"/>
      <c r="D196" s="14"/>
      <c r="E196" s="14"/>
      <c r="F196" s="14"/>
      <c r="G196" s="14"/>
      <c r="H196" s="14"/>
      <c r="I196" s="14"/>
    </row>
    <row r="197" spans="1:9" x14ac:dyDescent="0.2">
      <c r="A197" s="14"/>
      <c r="B197" s="14"/>
      <c r="C197" s="14"/>
      <c r="D197" s="14"/>
      <c r="E197" s="14"/>
      <c r="F197" s="14"/>
      <c r="G197" s="14"/>
      <c r="H197" s="14"/>
      <c r="I197" s="14"/>
    </row>
    <row r="198" spans="1:9" x14ac:dyDescent="0.2">
      <c r="A198" s="14"/>
      <c r="B198" s="14"/>
      <c r="C198" s="14"/>
      <c r="D198" s="14"/>
      <c r="E198" s="14"/>
      <c r="F198" s="14"/>
      <c r="G198" s="14"/>
      <c r="H198" s="14"/>
      <c r="I198" s="14"/>
    </row>
    <row r="199" spans="1:9" x14ac:dyDescent="0.2">
      <c r="A199" s="14"/>
      <c r="B199" s="14"/>
      <c r="C199" s="14"/>
      <c r="D199" s="14"/>
      <c r="E199" s="14"/>
      <c r="F199" s="14"/>
      <c r="G199" s="14"/>
      <c r="H199" s="14"/>
      <c r="I199" s="14"/>
    </row>
    <row r="200" spans="1:9" x14ac:dyDescent="0.2">
      <c r="A200" s="14"/>
      <c r="B200" s="14"/>
      <c r="C200" s="14"/>
      <c r="D200" s="14"/>
      <c r="E200" s="14"/>
      <c r="F200" s="14"/>
      <c r="G200" s="14"/>
      <c r="H200" s="14"/>
      <c r="I200" s="14"/>
    </row>
    <row r="201" spans="1:9" x14ac:dyDescent="0.2">
      <c r="A201" s="14"/>
      <c r="B201" s="14"/>
      <c r="C201" s="14"/>
      <c r="D201" s="14"/>
      <c r="E201" s="14"/>
      <c r="F201" s="14"/>
      <c r="G201" s="14"/>
      <c r="H201" s="14"/>
      <c r="I201" s="14"/>
    </row>
    <row r="202" spans="1:9" x14ac:dyDescent="0.2">
      <c r="A202" s="14"/>
      <c r="B202" s="14"/>
      <c r="C202" s="14"/>
      <c r="D202" s="14"/>
      <c r="E202" s="14"/>
      <c r="F202" s="14"/>
      <c r="G202" s="14"/>
      <c r="H202" s="14"/>
      <c r="I202" s="14"/>
    </row>
    <row r="203" spans="1:9" x14ac:dyDescent="0.2">
      <c r="A203" s="14"/>
      <c r="B203" s="14"/>
      <c r="C203" s="14"/>
      <c r="D203" s="14"/>
      <c r="E203" s="14"/>
      <c r="F203" s="14"/>
      <c r="G203" s="14"/>
      <c r="H203" s="14"/>
      <c r="I203" s="14"/>
    </row>
    <row r="204" spans="1:9" x14ac:dyDescent="0.2">
      <c r="A204" s="14"/>
      <c r="B204" s="14"/>
      <c r="C204" s="14"/>
      <c r="D204" s="14"/>
      <c r="E204" s="14"/>
      <c r="F204" s="14"/>
      <c r="G204" s="14"/>
      <c r="H204" s="14"/>
      <c r="I204" s="14"/>
    </row>
    <row r="205" spans="1:9" x14ac:dyDescent="0.2">
      <c r="A205" s="14"/>
      <c r="B205" s="14"/>
      <c r="C205" s="14"/>
      <c r="D205" s="14"/>
      <c r="E205" s="14"/>
      <c r="F205" s="14"/>
      <c r="G205" s="14"/>
      <c r="H205" s="14"/>
      <c r="I205" s="14"/>
    </row>
    <row r="206" spans="1:9" x14ac:dyDescent="0.2">
      <c r="A206" s="14"/>
      <c r="B206" s="14"/>
      <c r="C206" s="14"/>
      <c r="D206" s="14"/>
      <c r="E206" s="14"/>
      <c r="F206" s="14"/>
      <c r="G206" s="14"/>
      <c r="H206" s="14"/>
      <c r="I206" s="14"/>
    </row>
    <row r="207" spans="1:9" x14ac:dyDescent="0.2">
      <c r="A207" s="14"/>
      <c r="B207" s="14"/>
      <c r="C207" s="14"/>
      <c r="D207" s="14"/>
      <c r="E207" s="14"/>
      <c r="F207" s="14"/>
      <c r="G207" s="14"/>
      <c r="H207" s="14"/>
      <c r="I207" s="14"/>
    </row>
    <row r="208" spans="1:9" x14ac:dyDescent="0.2">
      <c r="A208" s="14"/>
      <c r="B208" s="14"/>
      <c r="C208" s="14"/>
      <c r="D208" s="14"/>
      <c r="E208" s="14"/>
      <c r="F208" s="14"/>
      <c r="G208" s="14"/>
      <c r="H208" s="14"/>
      <c r="I208" s="14"/>
    </row>
    <row r="209" spans="1:9" x14ac:dyDescent="0.2">
      <c r="A209" s="14"/>
      <c r="B209" s="14"/>
      <c r="C209" s="14"/>
      <c r="D209" s="14"/>
      <c r="E209" s="14"/>
      <c r="F209" s="14"/>
      <c r="G209" s="14"/>
      <c r="H209" s="14"/>
      <c r="I209" s="14"/>
    </row>
    <row r="210" spans="1:9" x14ac:dyDescent="0.2">
      <c r="A210" s="14"/>
      <c r="B210" s="14"/>
      <c r="C210" s="14"/>
      <c r="D210" s="14"/>
      <c r="E210" s="14"/>
      <c r="F210" s="14"/>
      <c r="G210" s="14"/>
      <c r="H210" s="14"/>
      <c r="I210" s="14"/>
    </row>
    <row r="211" spans="1:9" x14ac:dyDescent="0.2">
      <c r="A211" s="14"/>
      <c r="B211" s="14"/>
      <c r="C211" s="14"/>
      <c r="D211" s="14"/>
      <c r="E211" s="14"/>
      <c r="F211" s="14"/>
      <c r="G211" s="14"/>
      <c r="H211" s="14"/>
      <c r="I211" s="14"/>
    </row>
    <row r="212" spans="1:9" x14ac:dyDescent="0.2">
      <c r="A212" s="14"/>
      <c r="B212" s="14"/>
      <c r="C212" s="14"/>
      <c r="D212" s="14"/>
      <c r="E212" s="14"/>
      <c r="F212" s="14"/>
      <c r="G212" s="14"/>
      <c r="H212" s="14"/>
      <c r="I212" s="14"/>
    </row>
    <row r="213" spans="1:9" x14ac:dyDescent="0.2">
      <c r="A213" s="14"/>
      <c r="B213" s="14"/>
      <c r="C213" s="14"/>
      <c r="D213" s="14"/>
      <c r="E213" s="14"/>
      <c r="F213" s="14"/>
      <c r="G213" s="14"/>
      <c r="H213" s="14"/>
      <c r="I213" s="14"/>
    </row>
    <row r="214" spans="1:9" x14ac:dyDescent="0.2">
      <c r="A214" s="14"/>
      <c r="B214" s="14"/>
      <c r="C214" s="14"/>
      <c r="D214" s="14"/>
      <c r="E214" s="14"/>
      <c r="F214" s="14"/>
      <c r="G214" s="14"/>
      <c r="H214" s="14"/>
      <c r="I214" s="14"/>
    </row>
    <row r="215" spans="1:9" x14ac:dyDescent="0.2">
      <c r="A215" s="14"/>
      <c r="B215" s="14"/>
      <c r="C215" s="14"/>
      <c r="D215" s="14"/>
      <c r="E215" s="14"/>
      <c r="F215" s="14"/>
      <c r="G215" s="14"/>
      <c r="H215" s="14"/>
      <c r="I215" s="14"/>
    </row>
    <row r="216" spans="1:9" x14ac:dyDescent="0.2">
      <c r="A216" s="14"/>
      <c r="B216" s="14"/>
      <c r="C216" s="14"/>
      <c r="D216" s="14"/>
      <c r="E216" s="14"/>
      <c r="F216" s="14"/>
      <c r="G216" s="14"/>
      <c r="H216" s="14"/>
      <c r="I216" s="14"/>
    </row>
    <row r="217" spans="1:9" x14ac:dyDescent="0.2">
      <c r="A217" s="14"/>
      <c r="B217" s="14"/>
      <c r="C217" s="14"/>
      <c r="D217" s="14"/>
      <c r="E217" s="14"/>
      <c r="F217" s="14"/>
      <c r="G217" s="14"/>
      <c r="H217" s="14"/>
      <c r="I217" s="14"/>
    </row>
    <row r="218" spans="1:9" x14ac:dyDescent="0.2">
      <c r="A218" s="14"/>
      <c r="B218" s="14"/>
      <c r="C218" s="14"/>
      <c r="D218" s="14"/>
      <c r="E218" s="14"/>
      <c r="F218" s="14"/>
      <c r="G218" s="14"/>
      <c r="H218" s="14"/>
      <c r="I218" s="14"/>
    </row>
    <row r="219" spans="1:9" x14ac:dyDescent="0.2">
      <c r="A219" s="14"/>
      <c r="B219" s="14"/>
      <c r="C219" s="14"/>
      <c r="D219" s="14"/>
      <c r="E219" s="14"/>
      <c r="F219" s="14"/>
      <c r="G219" s="14"/>
      <c r="H219" s="14"/>
      <c r="I219" s="14"/>
    </row>
    <row r="220" spans="1:9" x14ac:dyDescent="0.2">
      <c r="A220" s="14"/>
      <c r="B220" s="14"/>
      <c r="C220" s="14"/>
      <c r="D220" s="14"/>
      <c r="E220" s="14"/>
      <c r="F220" s="14"/>
      <c r="G220" s="14"/>
      <c r="H220" s="14"/>
      <c r="I220" s="14"/>
    </row>
    <row r="221" spans="1:9" x14ac:dyDescent="0.2">
      <c r="A221" s="14"/>
      <c r="B221" s="14"/>
      <c r="C221" s="14"/>
      <c r="D221" s="14"/>
      <c r="E221" s="14"/>
      <c r="F221" s="14"/>
      <c r="G221" s="14"/>
      <c r="H221" s="14"/>
      <c r="I221" s="14"/>
    </row>
    <row r="222" spans="1:9" x14ac:dyDescent="0.2">
      <c r="A222" s="14"/>
      <c r="B222" s="14"/>
      <c r="C222" s="14"/>
      <c r="D222" s="14"/>
      <c r="E222" s="14"/>
      <c r="F222" s="14"/>
      <c r="G222" s="14"/>
      <c r="H222" s="14"/>
      <c r="I222" s="14"/>
    </row>
    <row r="223" spans="1:9" x14ac:dyDescent="0.2">
      <c r="A223" s="14"/>
      <c r="B223" s="14"/>
      <c r="C223" s="14"/>
      <c r="D223" s="14"/>
      <c r="E223" s="14"/>
      <c r="F223" s="14"/>
      <c r="G223" s="14"/>
      <c r="H223" s="14"/>
      <c r="I223" s="14"/>
    </row>
    <row r="224" spans="1:9" x14ac:dyDescent="0.2">
      <c r="A224" s="14"/>
      <c r="B224" s="14"/>
      <c r="C224" s="14"/>
      <c r="D224" s="14"/>
      <c r="E224" s="14"/>
      <c r="F224" s="14"/>
      <c r="G224" s="14"/>
      <c r="H224" s="14"/>
      <c r="I224" s="14"/>
    </row>
    <row r="225" spans="1:9" x14ac:dyDescent="0.2">
      <c r="A225" s="14"/>
      <c r="B225" s="14"/>
      <c r="C225" s="14"/>
      <c r="D225" s="14"/>
      <c r="E225" s="14"/>
      <c r="F225" s="14"/>
      <c r="G225" s="14"/>
      <c r="H225" s="14"/>
      <c r="I225" s="14"/>
    </row>
    <row r="226" spans="1:9" x14ac:dyDescent="0.2">
      <c r="A226" s="14"/>
      <c r="B226" s="14"/>
      <c r="C226" s="14"/>
      <c r="D226" s="14"/>
      <c r="E226" s="14"/>
      <c r="F226" s="14"/>
      <c r="G226" s="14"/>
      <c r="H226" s="14"/>
      <c r="I226" s="14"/>
    </row>
    <row r="227" spans="1:9" x14ac:dyDescent="0.2">
      <c r="A227" s="14"/>
      <c r="B227" s="14"/>
      <c r="C227" s="14"/>
      <c r="D227" s="14"/>
      <c r="E227" s="14"/>
      <c r="F227" s="14"/>
      <c r="G227" s="14"/>
      <c r="H227" s="14"/>
      <c r="I227" s="14"/>
    </row>
    <row r="228" spans="1:9" x14ac:dyDescent="0.2">
      <c r="A228" s="14"/>
      <c r="B228" s="14"/>
      <c r="C228" s="14"/>
      <c r="D228" s="14"/>
      <c r="E228" s="14"/>
      <c r="F228" s="14"/>
      <c r="G228" s="14"/>
      <c r="H228" s="14"/>
      <c r="I228" s="14"/>
    </row>
    <row r="229" spans="1:9" x14ac:dyDescent="0.2">
      <c r="A229" s="14"/>
      <c r="B229" s="14"/>
      <c r="C229" s="14"/>
      <c r="D229" s="14"/>
      <c r="E229" s="14"/>
      <c r="F229" s="14"/>
      <c r="G229" s="14"/>
      <c r="H229" s="14"/>
      <c r="I229" s="14"/>
    </row>
    <row r="230" spans="1:9" x14ac:dyDescent="0.2">
      <c r="A230" s="14"/>
      <c r="B230" s="14"/>
      <c r="C230" s="14"/>
      <c r="D230" s="14"/>
      <c r="E230" s="14"/>
      <c r="F230" s="14"/>
      <c r="G230" s="14"/>
      <c r="H230" s="14"/>
      <c r="I230" s="14"/>
    </row>
    <row r="231" spans="1:9" x14ac:dyDescent="0.2">
      <c r="A231" s="14"/>
      <c r="B231" s="14"/>
      <c r="C231" s="14"/>
      <c r="D231" s="14"/>
      <c r="E231" s="14"/>
      <c r="F231" s="14"/>
      <c r="G231" s="14"/>
      <c r="H231" s="14"/>
      <c r="I231" s="14"/>
    </row>
    <row r="232" spans="1:9" x14ac:dyDescent="0.2">
      <c r="A232" s="14"/>
      <c r="B232" s="14"/>
      <c r="C232" s="14"/>
      <c r="D232" s="14"/>
      <c r="E232" s="14"/>
      <c r="F232" s="14"/>
      <c r="G232" s="14"/>
      <c r="H232" s="14"/>
      <c r="I232" s="14"/>
    </row>
    <row r="233" spans="1:9" x14ac:dyDescent="0.2">
      <c r="A233" s="14"/>
      <c r="B233" s="14"/>
      <c r="C233" s="14"/>
      <c r="D233" s="14"/>
      <c r="E233" s="14"/>
      <c r="F233" s="14"/>
      <c r="G233" s="14"/>
      <c r="H233" s="14"/>
      <c r="I233" s="14"/>
    </row>
    <row r="234" spans="1:9" x14ac:dyDescent="0.2">
      <c r="A234" s="14"/>
      <c r="B234" s="14"/>
      <c r="C234" s="14"/>
      <c r="D234" s="14"/>
      <c r="E234" s="14"/>
      <c r="F234" s="14"/>
      <c r="G234" s="14"/>
      <c r="H234" s="14"/>
      <c r="I234" s="14"/>
    </row>
    <row r="235" spans="1:9" x14ac:dyDescent="0.2">
      <c r="A235" s="14"/>
      <c r="B235" s="14"/>
      <c r="C235" s="14"/>
      <c r="D235" s="14"/>
      <c r="E235" s="14"/>
      <c r="F235" s="14"/>
      <c r="G235" s="14"/>
      <c r="H235" s="14"/>
      <c r="I235" s="14"/>
    </row>
    <row r="236" spans="1:9" x14ac:dyDescent="0.2">
      <c r="A236" s="14"/>
      <c r="B236" s="14"/>
      <c r="C236" s="14"/>
      <c r="D236" s="14"/>
      <c r="E236" s="14"/>
      <c r="F236" s="14"/>
      <c r="G236" s="14"/>
      <c r="H236" s="14"/>
      <c r="I236" s="14"/>
    </row>
    <row r="237" spans="1:9" x14ac:dyDescent="0.2">
      <c r="A237" s="14"/>
      <c r="B237" s="14"/>
      <c r="C237" s="14"/>
      <c r="D237" s="14"/>
      <c r="E237" s="14"/>
      <c r="F237" s="14"/>
      <c r="G237" s="14"/>
      <c r="H237" s="14"/>
      <c r="I237" s="14"/>
    </row>
    <row r="238" spans="1:9" x14ac:dyDescent="0.2">
      <c r="A238" s="14"/>
      <c r="B238" s="14"/>
      <c r="C238" s="14"/>
      <c r="D238" s="14"/>
      <c r="E238" s="14"/>
      <c r="F238" s="14"/>
      <c r="G238" s="14"/>
      <c r="H238" s="14"/>
      <c r="I238" s="14"/>
    </row>
    <row r="239" spans="1:9" x14ac:dyDescent="0.2">
      <c r="A239" s="14"/>
      <c r="B239" s="14"/>
      <c r="C239" s="14"/>
      <c r="D239" s="14"/>
      <c r="E239" s="14"/>
      <c r="F239" s="14"/>
      <c r="G239" s="14"/>
      <c r="H239" s="14"/>
      <c r="I239" s="14"/>
    </row>
    <row r="240" spans="1:9" x14ac:dyDescent="0.2">
      <c r="A240" s="14"/>
      <c r="B240" s="14"/>
      <c r="C240" s="14"/>
      <c r="D240" s="14"/>
      <c r="E240" s="14"/>
      <c r="F240" s="14"/>
      <c r="G240" s="14"/>
      <c r="H240" s="14"/>
      <c r="I240" s="14"/>
    </row>
    <row r="241" spans="1:9" x14ac:dyDescent="0.2">
      <c r="A241" s="14"/>
      <c r="B241" s="14"/>
      <c r="C241" s="14"/>
      <c r="D241" s="14"/>
      <c r="E241" s="14"/>
      <c r="F241" s="14"/>
      <c r="G241" s="14"/>
      <c r="H241" s="14"/>
      <c r="I241" s="14"/>
    </row>
    <row r="242" spans="1:9" x14ac:dyDescent="0.2">
      <c r="A242" s="14"/>
      <c r="B242" s="14"/>
      <c r="C242" s="14"/>
      <c r="D242" s="14"/>
      <c r="E242" s="14"/>
      <c r="F242" s="14"/>
      <c r="G242" s="14"/>
      <c r="H242" s="14"/>
      <c r="I242" s="14"/>
    </row>
    <row r="243" spans="1:9" x14ac:dyDescent="0.2">
      <c r="A243" s="14"/>
      <c r="B243" s="14"/>
      <c r="C243" s="14"/>
      <c r="D243" s="14"/>
      <c r="E243" s="14"/>
      <c r="F243" s="14"/>
      <c r="G243" s="14"/>
      <c r="H243" s="14"/>
      <c r="I243" s="14"/>
    </row>
    <row r="244" spans="1:9" x14ac:dyDescent="0.2">
      <c r="A244" s="14"/>
      <c r="B244" s="14"/>
      <c r="C244" s="14"/>
      <c r="D244" s="14"/>
      <c r="E244" s="14"/>
      <c r="F244" s="14"/>
      <c r="G244" s="14"/>
      <c r="H244" s="14"/>
      <c r="I244" s="14"/>
    </row>
    <row r="245" spans="1:9" x14ac:dyDescent="0.2">
      <c r="A245" s="14"/>
      <c r="B245" s="14"/>
      <c r="C245" s="14"/>
      <c r="D245" s="14"/>
      <c r="E245" s="14"/>
      <c r="F245" s="14"/>
      <c r="G245" s="14"/>
      <c r="H245" s="14"/>
      <c r="I245" s="14"/>
    </row>
    <row r="246" spans="1:9" x14ac:dyDescent="0.2">
      <c r="A246" s="14"/>
      <c r="B246" s="14"/>
      <c r="C246" s="14"/>
      <c r="D246" s="14"/>
      <c r="E246" s="14"/>
      <c r="F246" s="14"/>
      <c r="G246" s="14"/>
      <c r="H246" s="14"/>
      <c r="I246" s="14"/>
    </row>
    <row r="247" spans="1:9" x14ac:dyDescent="0.2">
      <c r="A247" s="14"/>
      <c r="B247" s="14"/>
      <c r="C247" s="14"/>
      <c r="D247" s="14"/>
      <c r="E247" s="14"/>
      <c r="F247" s="14"/>
      <c r="G247" s="14"/>
      <c r="H247" s="14"/>
      <c r="I247" s="14"/>
    </row>
    <row r="248" spans="1:9" x14ac:dyDescent="0.2">
      <c r="A248" s="14"/>
      <c r="B248" s="14"/>
      <c r="C248" s="14"/>
      <c r="D248" s="14"/>
      <c r="E248" s="14"/>
      <c r="F248" s="14"/>
      <c r="G248" s="14"/>
      <c r="H248" s="14"/>
      <c r="I248" s="14"/>
    </row>
    <row r="249" spans="1:9" x14ac:dyDescent="0.2">
      <c r="A249" s="14"/>
      <c r="B249" s="14"/>
      <c r="C249" s="14"/>
      <c r="D249" s="14"/>
      <c r="E249" s="14"/>
      <c r="F249" s="14"/>
      <c r="G249" s="14"/>
      <c r="H249" s="14"/>
      <c r="I249" s="14"/>
    </row>
    <row r="250" spans="1:9" x14ac:dyDescent="0.2">
      <c r="A250" s="14"/>
      <c r="B250" s="14"/>
      <c r="C250" s="14"/>
      <c r="D250" s="14"/>
      <c r="E250" s="14"/>
      <c r="F250" s="14"/>
      <c r="G250" s="14"/>
      <c r="H250" s="14"/>
      <c r="I250" s="14"/>
    </row>
    <row r="251" spans="1:9" x14ac:dyDescent="0.2">
      <c r="A251" s="14"/>
      <c r="B251" s="14"/>
      <c r="C251" s="14"/>
      <c r="D251" s="14"/>
      <c r="E251" s="14"/>
      <c r="F251" s="14"/>
      <c r="G251" s="14"/>
      <c r="H251" s="14"/>
      <c r="I251" s="14"/>
    </row>
    <row r="252" spans="1:9" x14ac:dyDescent="0.2">
      <c r="A252" s="14"/>
      <c r="B252" s="14"/>
      <c r="C252" s="14"/>
      <c r="D252" s="14"/>
      <c r="E252" s="14"/>
      <c r="F252" s="14"/>
      <c r="G252" s="14"/>
      <c r="H252" s="14"/>
      <c r="I252" s="14"/>
    </row>
    <row r="253" spans="1:9" x14ac:dyDescent="0.2">
      <c r="A253" s="14"/>
      <c r="B253" s="14"/>
      <c r="C253" s="14"/>
      <c r="D253" s="14"/>
      <c r="E253" s="14"/>
      <c r="F253" s="14"/>
      <c r="G253" s="14"/>
      <c r="H253" s="14"/>
      <c r="I253" s="14"/>
    </row>
    <row r="254" spans="1:9" x14ac:dyDescent="0.2">
      <c r="A254" s="14"/>
      <c r="B254" s="14"/>
      <c r="C254" s="14"/>
      <c r="D254" s="14"/>
      <c r="E254" s="14"/>
      <c r="F254" s="14"/>
      <c r="G254" s="14"/>
      <c r="H254" s="14"/>
      <c r="I254" s="14"/>
    </row>
    <row r="255" spans="1:9" x14ac:dyDescent="0.2">
      <c r="A255" s="14"/>
      <c r="B255" s="14"/>
      <c r="C255" s="14"/>
      <c r="D255" s="14"/>
      <c r="E255" s="14"/>
      <c r="F255" s="14"/>
      <c r="G255" s="14"/>
      <c r="H255" s="14"/>
      <c r="I255" s="14"/>
    </row>
    <row r="256" spans="1:9" x14ac:dyDescent="0.2">
      <c r="A256" s="14"/>
      <c r="B256" s="14"/>
      <c r="C256" s="14"/>
      <c r="D256" s="14"/>
      <c r="E256" s="14"/>
      <c r="F256" s="14"/>
      <c r="G256" s="14"/>
      <c r="H256" s="14"/>
      <c r="I256" s="14"/>
    </row>
    <row r="257" spans="1:9" x14ac:dyDescent="0.2">
      <c r="A257" s="14"/>
      <c r="B257" s="14"/>
      <c r="C257" s="14"/>
      <c r="D257" s="14"/>
      <c r="E257" s="14"/>
      <c r="F257" s="14"/>
      <c r="G257" s="14"/>
      <c r="H257" s="14"/>
      <c r="I257" s="14"/>
    </row>
    <row r="258" spans="1:9" x14ac:dyDescent="0.2">
      <c r="A258" s="14"/>
      <c r="B258" s="14"/>
      <c r="C258" s="14"/>
      <c r="D258" s="14"/>
      <c r="E258" s="14"/>
      <c r="F258" s="14"/>
      <c r="G258" s="14"/>
      <c r="H258" s="14"/>
      <c r="I258" s="14"/>
    </row>
    <row r="259" spans="1:9" x14ac:dyDescent="0.2">
      <c r="A259" s="14"/>
      <c r="B259" s="14"/>
      <c r="C259" s="14"/>
      <c r="D259" s="14"/>
      <c r="E259" s="14"/>
      <c r="F259" s="14"/>
      <c r="G259" s="14"/>
      <c r="H259" s="14"/>
      <c r="I259" s="14"/>
    </row>
    <row r="260" spans="1:9" x14ac:dyDescent="0.2">
      <c r="A260" s="14"/>
      <c r="B260" s="14"/>
      <c r="C260" s="14"/>
      <c r="D260" s="14"/>
      <c r="E260" s="14"/>
      <c r="F260" s="14"/>
      <c r="G260" s="14"/>
      <c r="H260" s="14"/>
      <c r="I260" s="14"/>
    </row>
    <row r="261" spans="1:9" x14ac:dyDescent="0.2">
      <c r="A261" s="14"/>
      <c r="B261" s="14"/>
      <c r="C261" s="14"/>
      <c r="D261" s="14"/>
      <c r="E261" s="14"/>
      <c r="F261" s="14"/>
      <c r="G261" s="14"/>
      <c r="H261" s="14"/>
      <c r="I261" s="14"/>
    </row>
    <row r="262" spans="1:9" x14ac:dyDescent="0.2">
      <c r="A262" s="14"/>
      <c r="B262" s="14"/>
      <c r="C262" s="14"/>
      <c r="D262" s="14"/>
      <c r="E262" s="14"/>
      <c r="F262" s="14"/>
      <c r="G262" s="14"/>
      <c r="H262" s="14"/>
      <c r="I262" s="14"/>
    </row>
    <row r="263" spans="1:9" x14ac:dyDescent="0.2">
      <c r="A263" s="14"/>
      <c r="B263" s="14"/>
      <c r="C263" s="14"/>
      <c r="D263" s="14"/>
      <c r="E263" s="14"/>
      <c r="F263" s="14"/>
      <c r="G263" s="14"/>
      <c r="H263" s="14"/>
      <c r="I263" s="14"/>
    </row>
    <row r="264" spans="1:9" x14ac:dyDescent="0.2">
      <c r="A264" s="14"/>
      <c r="B264" s="14"/>
      <c r="C264" s="14"/>
      <c r="D264" s="14"/>
      <c r="E264" s="14"/>
      <c r="F264" s="14"/>
      <c r="G264" s="14"/>
      <c r="H264" s="14"/>
      <c r="I264" s="14"/>
    </row>
    <row r="265" spans="1:9" x14ac:dyDescent="0.2">
      <c r="A265" s="14"/>
      <c r="B265" s="14"/>
      <c r="C265" s="14"/>
      <c r="D265" s="14"/>
      <c r="E265" s="14"/>
      <c r="F265" s="14"/>
      <c r="G265" s="14"/>
      <c r="H265" s="14"/>
      <c r="I265" s="14"/>
    </row>
    <row r="266" spans="1:9" x14ac:dyDescent="0.2">
      <c r="A266" s="14"/>
      <c r="B266" s="14"/>
      <c r="C266" s="14"/>
      <c r="D266" s="14"/>
      <c r="E266" s="14"/>
      <c r="F266" s="14"/>
      <c r="G266" s="14"/>
      <c r="H266" s="14"/>
      <c r="I266" s="14"/>
    </row>
    <row r="267" spans="1:9" x14ac:dyDescent="0.2">
      <c r="A267" s="14"/>
      <c r="B267" s="14"/>
      <c r="C267" s="14"/>
      <c r="D267" s="14"/>
      <c r="E267" s="14"/>
      <c r="F267" s="14"/>
      <c r="G267" s="14"/>
      <c r="H267" s="14"/>
      <c r="I267" s="14"/>
    </row>
    <row r="268" spans="1:9" x14ac:dyDescent="0.2">
      <c r="A268" s="14"/>
      <c r="B268" s="14"/>
      <c r="C268" s="14"/>
      <c r="D268" s="14"/>
      <c r="E268" s="14"/>
      <c r="F268" s="14"/>
      <c r="G268" s="14"/>
      <c r="H268" s="14"/>
      <c r="I268" s="14"/>
    </row>
    <row r="269" spans="1:9" x14ac:dyDescent="0.2">
      <c r="A269" s="14"/>
      <c r="B269" s="14"/>
      <c r="C269" s="14"/>
      <c r="D269" s="14"/>
      <c r="E269" s="14"/>
      <c r="F269" s="14"/>
      <c r="G269" s="14"/>
      <c r="H269" s="14"/>
      <c r="I269" s="14"/>
    </row>
    <row r="270" spans="1:9" x14ac:dyDescent="0.2">
      <c r="A270" s="14"/>
      <c r="B270" s="14"/>
      <c r="C270" s="14"/>
      <c r="D270" s="14"/>
      <c r="E270" s="14"/>
      <c r="F270" s="14"/>
      <c r="G270" s="14"/>
      <c r="H270" s="14"/>
      <c r="I270" s="14"/>
    </row>
    <row r="271" spans="1:9" x14ac:dyDescent="0.2">
      <c r="A271" s="14"/>
      <c r="B271" s="14"/>
      <c r="C271" s="14"/>
      <c r="D271" s="14"/>
      <c r="E271" s="14"/>
      <c r="F271" s="14"/>
      <c r="G271" s="14"/>
      <c r="H271" s="14"/>
      <c r="I271" s="14"/>
    </row>
    <row r="272" spans="1:9" x14ac:dyDescent="0.2">
      <c r="A272" s="14"/>
      <c r="B272" s="14"/>
      <c r="C272" s="14"/>
      <c r="D272" s="14"/>
      <c r="E272" s="14"/>
      <c r="F272" s="14"/>
      <c r="G272" s="14"/>
      <c r="H272" s="14"/>
      <c r="I272" s="14"/>
    </row>
    <row r="273" spans="1:9" x14ac:dyDescent="0.2">
      <c r="A273" s="14"/>
      <c r="B273" s="14"/>
      <c r="C273" s="14"/>
      <c r="D273" s="14"/>
      <c r="E273" s="14"/>
      <c r="F273" s="14"/>
      <c r="G273" s="14"/>
      <c r="H273" s="14"/>
      <c r="I273" s="14"/>
    </row>
    <row r="274" spans="1:9" x14ac:dyDescent="0.2">
      <c r="A274" s="14"/>
      <c r="B274" s="14"/>
      <c r="C274" s="14"/>
      <c r="D274" s="14"/>
      <c r="E274" s="14"/>
      <c r="F274" s="14"/>
      <c r="G274" s="14"/>
      <c r="H274" s="14"/>
      <c r="I274" s="14"/>
    </row>
    <row r="275" spans="1:9" x14ac:dyDescent="0.2">
      <c r="A275" s="14"/>
      <c r="B275" s="14"/>
      <c r="C275" s="14"/>
      <c r="D275" s="14"/>
      <c r="E275" s="14"/>
      <c r="F275" s="14"/>
      <c r="G275" s="14"/>
      <c r="H275" s="14"/>
      <c r="I275" s="14"/>
    </row>
  </sheetData>
  <phoneticPr fontId="26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1FBC-E465-40D8-93E5-A32141AF7742}">
  <sheetPr codeName="Sheet7"/>
  <dimension ref="A1:M40"/>
  <sheetViews>
    <sheetView topLeftCell="A16" zoomScale="80" zoomScaleNormal="80" workbookViewId="0">
      <selection activeCell="F13" sqref="F13"/>
    </sheetView>
  </sheetViews>
  <sheetFormatPr defaultRowHeight="12.75" x14ac:dyDescent="0.2"/>
  <cols>
    <col min="1" max="1" width="14.5703125" customWidth="1"/>
    <col min="2" max="2" width="9.140625" style="3"/>
    <col min="3" max="3" width="11.85546875" customWidth="1"/>
    <col min="7" max="7" width="9.28515625" bestFit="1" customWidth="1"/>
  </cols>
  <sheetData>
    <row r="1" spans="1:13" x14ac:dyDescent="0.2">
      <c r="A1" s="63" t="s">
        <v>654</v>
      </c>
      <c r="B1" s="64"/>
      <c r="C1" s="64"/>
      <c r="D1" s="64"/>
      <c r="E1" s="64"/>
      <c r="F1" s="34"/>
      <c r="G1" s="34"/>
      <c r="H1" s="37"/>
    </row>
    <row r="2" spans="1:13" x14ac:dyDescent="0.2">
      <c r="A2" s="3"/>
      <c r="C2" s="3"/>
      <c r="D2" s="3"/>
      <c r="E2" s="3"/>
      <c r="F2" s="3"/>
    </row>
    <row r="3" spans="1:13" x14ac:dyDescent="0.2">
      <c r="A3" s="3"/>
      <c r="C3" s="3"/>
      <c r="D3" s="3"/>
      <c r="E3" s="3"/>
      <c r="F3" s="3"/>
    </row>
    <row r="4" spans="1:13" ht="13.5" thickBot="1" x14ac:dyDescent="0.25">
      <c r="A4" s="3"/>
      <c r="C4" s="3"/>
      <c r="D4" s="3"/>
      <c r="E4" s="3"/>
      <c r="F4" s="3"/>
    </row>
    <row r="5" spans="1:13" x14ac:dyDescent="0.2">
      <c r="A5" s="82" t="s">
        <v>687</v>
      </c>
      <c r="B5" s="83"/>
      <c r="C5" s="84"/>
      <c r="D5" s="84"/>
      <c r="E5" s="84"/>
      <c r="F5" s="83"/>
      <c r="G5" s="84"/>
      <c r="H5" s="84"/>
      <c r="I5" s="84"/>
      <c r="J5" s="84"/>
      <c r="K5" s="84"/>
      <c r="L5" s="84"/>
      <c r="M5" s="85"/>
    </row>
    <row r="6" spans="1:13" x14ac:dyDescent="0.2">
      <c r="A6" s="86" t="s">
        <v>681</v>
      </c>
      <c r="B6" s="45"/>
      <c r="C6" s="45" t="s">
        <v>682</v>
      </c>
      <c r="D6" s="50"/>
      <c r="E6" s="50"/>
      <c r="F6" s="87"/>
      <c r="G6" s="50"/>
      <c r="H6" s="50"/>
      <c r="I6" s="50"/>
      <c r="J6" s="50"/>
      <c r="K6" s="50"/>
      <c r="L6" s="50"/>
      <c r="M6" s="88"/>
    </row>
    <row r="7" spans="1:13" x14ac:dyDescent="0.2">
      <c r="A7" s="89" t="s">
        <v>692</v>
      </c>
      <c r="B7" s="50"/>
      <c r="C7" s="90" t="s">
        <v>693</v>
      </c>
      <c r="D7" s="50"/>
      <c r="E7" s="50"/>
      <c r="F7" s="87"/>
      <c r="G7" s="50"/>
      <c r="H7" s="50"/>
      <c r="I7" s="50"/>
      <c r="J7" s="50"/>
      <c r="K7" s="50"/>
      <c r="L7" s="50"/>
      <c r="M7" s="88"/>
    </row>
    <row r="8" spans="1:13" x14ac:dyDescent="0.2">
      <c r="A8" s="86" t="s">
        <v>691</v>
      </c>
      <c r="B8" s="45" t="s">
        <v>690</v>
      </c>
      <c r="C8" s="45" t="s">
        <v>688</v>
      </c>
      <c r="D8" s="45" t="s">
        <v>707</v>
      </c>
      <c r="E8" s="45" t="s">
        <v>689</v>
      </c>
      <c r="F8" s="87"/>
      <c r="G8" s="50"/>
      <c r="H8" s="50"/>
      <c r="I8" s="50"/>
      <c r="J8" s="50"/>
      <c r="K8" s="50"/>
      <c r="L8" s="50"/>
      <c r="M8" s="88"/>
    </row>
    <row r="9" spans="1:13" x14ac:dyDescent="0.2">
      <c r="A9" s="89">
        <v>5</v>
      </c>
      <c r="B9" s="87">
        <v>5</v>
      </c>
      <c r="C9" s="91">
        <v>0.13</v>
      </c>
      <c r="D9" s="87">
        <v>6</v>
      </c>
      <c r="E9" s="87">
        <v>79</v>
      </c>
      <c r="F9" s="87"/>
      <c r="G9" s="50"/>
      <c r="H9" s="50"/>
      <c r="I9" s="50"/>
      <c r="J9" s="50"/>
      <c r="K9" s="50"/>
      <c r="L9" s="87" t="s">
        <v>68</v>
      </c>
      <c r="M9" s="92" t="s">
        <v>68</v>
      </c>
    </row>
    <row r="10" spans="1:13" x14ac:dyDescent="0.2">
      <c r="A10" s="93"/>
      <c r="B10" s="13"/>
      <c r="C10" s="87" t="s">
        <v>20</v>
      </c>
      <c r="D10" s="87" t="s">
        <v>20</v>
      </c>
      <c r="E10" s="87" t="s">
        <v>20</v>
      </c>
      <c r="F10" s="87" t="s">
        <v>40</v>
      </c>
      <c r="G10" s="87" t="s">
        <v>40</v>
      </c>
      <c r="H10" s="87" t="s">
        <v>40</v>
      </c>
      <c r="I10" s="87" t="s">
        <v>66</v>
      </c>
      <c r="J10" s="87" t="s">
        <v>65</v>
      </c>
      <c r="K10" s="87" t="s">
        <v>40</v>
      </c>
      <c r="L10" s="87" t="s">
        <v>67</v>
      </c>
      <c r="M10" s="92" t="s">
        <v>67</v>
      </c>
    </row>
    <row r="11" spans="1:13" x14ac:dyDescent="0.2">
      <c r="A11" s="94" t="s">
        <v>32</v>
      </c>
      <c r="B11" s="5" t="s">
        <v>33</v>
      </c>
      <c r="C11" s="5" t="s">
        <v>34</v>
      </c>
      <c r="D11" s="5" t="s">
        <v>35</v>
      </c>
      <c r="E11" s="5" t="s">
        <v>64</v>
      </c>
      <c r="F11" s="5" t="s">
        <v>36</v>
      </c>
      <c r="G11" s="5" t="s">
        <v>37</v>
      </c>
      <c r="H11" s="5" t="s">
        <v>69</v>
      </c>
      <c r="I11" s="5" t="s">
        <v>58</v>
      </c>
      <c r="J11" s="5" t="s">
        <v>59</v>
      </c>
      <c r="K11" s="5" t="s">
        <v>60</v>
      </c>
      <c r="L11" s="5" t="s">
        <v>61</v>
      </c>
      <c r="M11" s="95" t="s">
        <v>62</v>
      </c>
    </row>
    <row r="12" spans="1:13" x14ac:dyDescent="0.2">
      <c r="A12" s="96">
        <v>1</v>
      </c>
      <c r="B12" s="87">
        <v>150</v>
      </c>
      <c r="C12" s="87">
        <v>0.47199999999999998</v>
      </c>
      <c r="D12" s="87">
        <v>0.26400000000000001</v>
      </c>
      <c r="E12" s="87">
        <v>0.13</v>
      </c>
      <c r="F12" s="87">
        <v>0.5</v>
      </c>
      <c r="G12" s="87">
        <v>0.8</v>
      </c>
      <c r="H12" s="87">
        <v>0</v>
      </c>
      <c r="I12" s="87">
        <v>1.4</v>
      </c>
      <c r="J12" s="87">
        <v>0.1</v>
      </c>
      <c r="K12" s="87">
        <v>0.1</v>
      </c>
      <c r="L12" s="87">
        <v>22</v>
      </c>
      <c r="M12" s="92">
        <v>2.2000000000000002</v>
      </c>
    </row>
    <row r="13" spans="1:13" x14ac:dyDescent="0.2">
      <c r="A13" s="96">
        <v>2</v>
      </c>
      <c r="B13" s="87">
        <v>150</v>
      </c>
      <c r="C13" s="87">
        <v>0.47799999999999998</v>
      </c>
      <c r="D13" s="87">
        <v>0.27300000000000002</v>
      </c>
      <c r="E13" s="87">
        <v>0.13</v>
      </c>
      <c r="F13" s="87">
        <v>0.5</v>
      </c>
      <c r="G13" s="87">
        <v>0.9</v>
      </c>
      <c r="H13" s="87">
        <v>0</v>
      </c>
      <c r="I13" s="87">
        <v>1.38</v>
      </c>
      <c r="J13" s="87">
        <v>0.1</v>
      </c>
      <c r="K13" s="87">
        <v>0.1</v>
      </c>
      <c r="L13" s="87">
        <v>18</v>
      </c>
      <c r="M13" s="92">
        <v>1.8</v>
      </c>
    </row>
    <row r="14" spans="1:13" x14ac:dyDescent="0.2">
      <c r="A14" s="96">
        <v>3</v>
      </c>
      <c r="B14" s="87">
        <v>300</v>
      </c>
      <c r="C14" s="87">
        <v>0.504</v>
      </c>
      <c r="D14" s="87">
        <v>0.32800000000000001</v>
      </c>
      <c r="E14" s="87">
        <v>0.13</v>
      </c>
      <c r="F14" s="87">
        <v>0.5</v>
      </c>
      <c r="G14" s="87">
        <v>0.9</v>
      </c>
      <c r="H14" s="87">
        <v>0</v>
      </c>
      <c r="I14" s="87">
        <v>1.31</v>
      </c>
      <c r="J14" s="87">
        <v>0.06</v>
      </c>
      <c r="K14" s="87">
        <v>0.1</v>
      </c>
      <c r="L14" s="87">
        <v>10</v>
      </c>
      <c r="M14" s="92">
        <v>1.6</v>
      </c>
    </row>
    <row r="15" spans="1:13" x14ac:dyDescent="0.2">
      <c r="A15" s="96">
        <v>4</v>
      </c>
      <c r="B15" s="87">
        <v>300</v>
      </c>
      <c r="C15" s="87">
        <v>0.52</v>
      </c>
      <c r="D15" s="87">
        <v>0.36399999999999999</v>
      </c>
      <c r="E15" s="87">
        <v>0.13</v>
      </c>
      <c r="F15" s="87">
        <v>0.5</v>
      </c>
      <c r="G15" s="87">
        <v>0.9</v>
      </c>
      <c r="H15" s="87">
        <v>0</v>
      </c>
      <c r="I15" s="87">
        <v>1.27</v>
      </c>
      <c r="J15" s="87">
        <v>0.04</v>
      </c>
      <c r="K15" s="87">
        <v>0.05</v>
      </c>
      <c r="L15" s="87">
        <v>7</v>
      </c>
      <c r="M15" s="92">
        <v>1.3</v>
      </c>
    </row>
    <row r="16" spans="1:13" x14ac:dyDescent="0.2">
      <c r="A16" s="96">
        <v>5</v>
      </c>
      <c r="B16" s="87">
        <v>300</v>
      </c>
      <c r="C16" s="87">
        <v>0.52300000000000002</v>
      </c>
      <c r="D16" s="87">
        <v>0.373</v>
      </c>
      <c r="E16" s="87">
        <v>0.13</v>
      </c>
      <c r="F16" s="87">
        <v>0.5</v>
      </c>
      <c r="G16" s="87">
        <v>0.9</v>
      </c>
      <c r="H16" s="87">
        <v>0</v>
      </c>
      <c r="I16" s="87">
        <v>1.26</v>
      </c>
      <c r="J16" s="87">
        <v>0.02</v>
      </c>
      <c r="K16" s="87">
        <v>0.05</v>
      </c>
      <c r="L16" s="87">
        <v>5</v>
      </c>
      <c r="M16" s="92">
        <v>1.1000000000000001</v>
      </c>
    </row>
    <row r="17" spans="1:13" x14ac:dyDescent="0.2">
      <c r="A17" s="96">
        <v>6</v>
      </c>
      <c r="B17" s="87"/>
      <c r="C17" s="87"/>
      <c r="D17" s="87"/>
      <c r="E17" s="87"/>
      <c r="F17" s="87"/>
      <c r="G17" s="50"/>
      <c r="H17" s="50"/>
      <c r="I17" s="50"/>
      <c r="J17" s="50"/>
      <c r="K17" s="50"/>
      <c r="L17" s="50"/>
      <c r="M17" s="88"/>
    </row>
    <row r="18" spans="1:13" x14ac:dyDescent="0.2">
      <c r="A18" s="96">
        <v>7</v>
      </c>
      <c r="B18" s="87"/>
      <c r="C18" s="87"/>
      <c r="D18" s="87"/>
      <c r="E18" s="87"/>
      <c r="F18" s="87"/>
      <c r="G18" s="50"/>
      <c r="H18" s="50"/>
      <c r="I18" s="50"/>
      <c r="J18" s="50"/>
      <c r="K18" s="50"/>
      <c r="L18" s="50"/>
      <c r="M18" s="88"/>
    </row>
    <row r="19" spans="1:13" x14ac:dyDescent="0.2">
      <c r="A19" s="96">
        <v>8</v>
      </c>
      <c r="B19" s="87"/>
      <c r="C19" s="87"/>
      <c r="D19" s="87"/>
      <c r="E19" s="87"/>
      <c r="F19" s="87"/>
      <c r="G19" s="50"/>
      <c r="H19" s="50"/>
      <c r="I19" s="50"/>
      <c r="J19" s="50"/>
      <c r="K19" s="50"/>
      <c r="L19" s="50"/>
      <c r="M19" s="88"/>
    </row>
    <row r="20" spans="1:13" x14ac:dyDescent="0.2">
      <c r="A20" s="97">
        <v>9</v>
      </c>
      <c r="B20" s="87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88"/>
    </row>
    <row r="21" spans="1:13" ht="13.5" thickBot="1" x14ac:dyDescent="0.25">
      <c r="A21" s="98">
        <v>10</v>
      </c>
      <c r="B21" s="99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1"/>
    </row>
    <row r="23" spans="1:13" ht="13.5" thickBot="1" x14ac:dyDescent="0.25"/>
    <row r="24" spans="1:13" x14ac:dyDescent="0.2">
      <c r="A24" s="82" t="s">
        <v>687</v>
      </c>
      <c r="B24" s="83"/>
      <c r="C24" s="84"/>
      <c r="D24" s="84"/>
      <c r="E24" s="84"/>
      <c r="F24" s="83"/>
      <c r="G24" s="84"/>
      <c r="H24" s="84"/>
      <c r="I24" s="84"/>
      <c r="J24" s="84"/>
      <c r="K24" s="84"/>
      <c r="L24" s="84"/>
      <c r="M24" s="85"/>
    </row>
    <row r="25" spans="1:13" x14ac:dyDescent="0.2">
      <c r="A25" s="86" t="s">
        <v>681</v>
      </c>
      <c r="B25" s="45"/>
      <c r="C25" s="45" t="s">
        <v>682</v>
      </c>
      <c r="D25" s="50"/>
      <c r="E25" s="50"/>
      <c r="F25" s="87"/>
      <c r="G25" s="50"/>
      <c r="H25" s="50"/>
      <c r="I25" s="50"/>
      <c r="J25" s="50"/>
      <c r="K25" s="50"/>
      <c r="L25" s="50"/>
      <c r="M25" s="88"/>
    </row>
    <row r="26" spans="1:13" x14ac:dyDescent="0.2">
      <c r="A26" s="89" t="s">
        <v>757</v>
      </c>
      <c r="B26" s="50"/>
      <c r="C26" s="90" t="s">
        <v>756</v>
      </c>
      <c r="D26" s="50"/>
      <c r="E26" s="50"/>
      <c r="F26" s="87"/>
      <c r="G26" s="50"/>
      <c r="H26" s="50"/>
      <c r="I26" s="50"/>
      <c r="J26" s="50"/>
      <c r="K26" s="50"/>
      <c r="L26" s="50"/>
      <c r="M26" s="88"/>
    </row>
    <row r="27" spans="1:13" x14ac:dyDescent="0.2">
      <c r="A27" s="86" t="s">
        <v>691</v>
      </c>
      <c r="B27" s="45" t="s">
        <v>690</v>
      </c>
      <c r="C27" s="45" t="s">
        <v>688</v>
      </c>
      <c r="D27" s="45" t="s">
        <v>707</v>
      </c>
      <c r="E27" s="45" t="s">
        <v>689</v>
      </c>
      <c r="F27" s="87"/>
      <c r="G27" s="50"/>
      <c r="H27" s="50"/>
      <c r="I27" s="50"/>
      <c r="J27" s="50"/>
      <c r="K27" s="50"/>
      <c r="L27" s="50"/>
      <c r="M27" s="88"/>
    </row>
    <row r="28" spans="1:13" x14ac:dyDescent="0.2">
      <c r="A28" s="89">
        <v>5</v>
      </c>
      <c r="B28" s="87">
        <v>5</v>
      </c>
      <c r="C28" s="91">
        <v>0.13</v>
      </c>
      <c r="D28" s="87">
        <v>6</v>
      </c>
      <c r="E28" s="87">
        <v>73</v>
      </c>
      <c r="F28" s="87"/>
      <c r="G28" s="50"/>
      <c r="H28" s="50"/>
      <c r="I28" s="50"/>
      <c r="J28" s="50"/>
      <c r="K28" s="50"/>
      <c r="L28" s="87" t="s">
        <v>68</v>
      </c>
      <c r="M28" s="92" t="s">
        <v>68</v>
      </c>
    </row>
    <row r="29" spans="1:13" x14ac:dyDescent="0.2">
      <c r="A29" s="93"/>
      <c r="B29" s="13"/>
      <c r="C29" s="87" t="s">
        <v>20</v>
      </c>
      <c r="D29" s="87" t="s">
        <v>20</v>
      </c>
      <c r="E29" s="87" t="s">
        <v>20</v>
      </c>
      <c r="F29" s="87" t="s">
        <v>40</v>
      </c>
      <c r="G29" s="87" t="s">
        <v>40</v>
      </c>
      <c r="H29" s="87" t="s">
        <v>40</v>
      </c>
      <c r="I29" s="87" t="s">
        <v>66</v>
      </c>
      <c r="J29" s="87" t="s">
        <v>65</v>
      </c>
      <c r="K29" s="87" t="s">
        <v>40</v>
      </c>
      <c r="L29" s="87" t="s">
        <v>67</v>
      </c>
      <c r="M29" s="92" t="s">
        <v>67</v>
      </c>
    </row>
    <row r="30" spans="1:13" x14ac:dyDescent="0.2">
      <c r="A30" s="94" t="s">
        <v>32</v>
      </c>
      <c r="B30" s="5" t="s">
        <v>33</v>
      </c>
      <c r="C30" s="5" t="s">
        <v>34</v>
      </c>
      <c r="D30" s="5" t="s">
        <v>35</v>
      </c>
      <c r="E30" s="5" t="s">
        <v>64</v>
      </c>
      <c r="F30" s="5" t="s">
        <v>36</v>
      </c>
      <c r="G30" s="5" t="s">
        <v>37</v>
      </c>
      <c r="H30" s="5" t="s">
        <v>69</v>
      </c>
      <c r="I30" s="5" t="s">
        <v>58</v>
      </c>
      <c r="J30" s="5" t="s">
        <v>59</v>
      </c>
      <c r="K30" s="5" t="s">
        <v>60</v>
      </c>
      <c r="L30" s="5" t="s">
        <v>61</v>
      </c>
      <c r="M30" s="95" t="s">
        <v>62</v>
      </c>
    </row>
    <row r="31" spans="1:13" x14ac:dyDescent="0.2">
      <c r="A31" s="96">
        <v>1</v>
      </c>
      <c r="B31" s="87">
        <v>150</v>
      </c>
      <c r="C31" s="87">
        <v>0.52500000000000002</v>
      </c>
      <c r="D31" s="87">
        <v>0.376</v>
      </c>
      <c r="E31" s="87">
        <v>0.17199999999999999</v>
      </c>
      <c r="F31" s="87">
        <v>0.4</v>
      </c>
      <c r="G31" s="30">
        <v>0.78488372093023273</v>
      </c>
      <c r="H31" s="87">
        <v>0</v>
      </c>
      <c r="I31" s="87">
        <v>1.26</v>
      </c>
      <c r="J31" s="30">
        <v>0.11299999999999999</v>
      </c>
      <c r="K31" s="87">
        <v>0.1</v>
      </c>
      <c r="L31" s="87">
        <v>11</v>
      </c>
      <c r="M31" s="92">
        <v>2.2000000000000002</v>
      </c>
    </row>
    <row r="32" spans="1:13" x14ac:dyDescent="0.2">
      <c r="A32" s="96">
        <v>2</v>
      </c>
      <c r="B32" s="87">
        <v>150</v>
      </c>
      <c r="C32" s="87">
        <v>0.52500000000000002</v>
      </c>
      <c r="D32" s="87">
        <v>0.376</v>
      </c>
      <c r="E32" s="87">
        <v>0.17199999999999999</v>
      </c>
      <c r="F32" s="87">
        <v>0.4</v>
      </c>
      <c r="G32" s="30">
        <v>0.93023255813953487</v>
      </c>
      <c r="H32" s="87">
        <v>0</v>
      </c>
      <c r="I32" s="87">
        <v>1.26</v>
      </c>
      <c r="J32" s="147">
        <v>0.11299999999999999</v>
      </c>
      <c r="K32" s="87">
        <v>0.1</v>
      </c>
      <c r="L32" s="87">
        <v>8</v>
      </c>
      <c r="M32" s="92">
        <v>1.8</v>
      </c>
    </row>
    <row r="33" spans="1:13" x14ac:dyDescent="0.2">
      <c r="A33" s="96">
        <v>3</v>
      </c>
      <c r="B33" s="87">
        <v>300</v>
      </c>
      <c r="C33" s="87">
        <v>0.52400000000000002</v>
      </c>
      <c r="D33" s="87">
        <v>0.377</v>
      </c>
      <c r="E33" s="87">
        <v>0.14699999999999999</v>
      </c>
      <c r="F33" s="87">
        <v>0.4</v>
      </c>
      <c r="G33" s="30">
        <v>1.0297619047619049</v>
      </c>
      <c r="H33" s="87">
        <v>0</v>
      </c>
      <c r="I33" s="87">
        <v>1.26</v>
      </c>
      <c r="J33" s="147">
        <v>9.5000000000000001E-2</v>
      </c>
      <c r="K33" s="87">
        <v>0.1</v>
      </c>
      <c r="L33" s="87">
        <v>6</v>
      </c>
      <c r="M33" s="92">
        <v>1.6</v>
      </c>
    </row>
    <row r="34" spans="1:13" x14ac:dyDescent="0.2">
      <c r="A34" s="96">
        <v>4</v>
      </c>
      <c r="B34" s="87">
        <v>300</v>
      </c>
      <c r="C34" s="87">
        <v>0.52900000000000003</v>
      </c>
      <c r="D34" s="87">
        <v>0.40200000000000002</v>
      </c>
      <c r="E34" s="87">
        <v>0.16</v>
      </c>
      <c r="F34" s="87">
        <v>0.4</v>
      </c>
      <c r="G34" s="30">
        <v>1</v>
      </c>
      <c r="H34" s="87">
        <v>0</v>
      </c>
      <c r="I34" s="87">
        <v>1.25</v>
      </c>
      <c r="J34" s="147">
        <v>5.5E-2</v>
      </c>
      <c r="K34" s="87">
        <v>0.1</v>
      </c>
      <c r="L34" s="87">
        <v>5</v>
      </c>
      <c r="M34" s="92">
        <v>1.3</v>
      </c>
    </row>
    <row r="35" spans="1:13" x14ac:dyDescent="0.2">
      <c r="A35" s="96">
        <v>5</v>
      </c>
      <c r="B35" s="87">
        <v>300</v>
      </c>
      <c r="C35" s="87">
        <v>0.54100000000000004</v>
      </c>
      <c r="D35" s="87">
        <v>0.44400000000000001</v>
      </c>
      <c r="E35" s="87">
        <v>0.158</v>
      </c>
      <c r="F35" s="87">
        <v>0.4</v>
      </c>
      <c r="G35" s="30">
        <v>1</v>
      </c>
      <c r="H35" s="87">
        <v>0</v>
      </c>
      <c r="I35" s="87">
        <v>1.22</v>
      </c>
      <c r="J35" s="147">
        <v>0.02</v>
      </c>
      <c r="K35" s="87">
        <v>0.05</v>
      </c>
      <c r="L35" s="87">
        <v>4</v>
      </c>
      <c r="M35" s="92">
        <v>1.1000000000000001</v>
      </c>
    </row>
    <row r="36" spans="1:13" x14ac:dyDescent="0.2">
      <c r="A36" s="96">
        <v>6</v>
      </c>
      <c r="B36" s="87">
        <v>300</v>
      </c>
      <c r="C36" s="87">
        <v>0.52800000000000002</v>
      </c>
      <c r="D36" s="87">
        <v>0.39800000000000002</v>
      </c>
      <c r="E36" s="87">
        <v>0.13</v>
      </c>
      <c r="F36" s="87">
        <v>0.4</v>
      </c>
      <c r="G36" s="147">
        <v>1</v>
      </c>
      <c r="H36" s="87">
        <v>0</v>
      </c>
      <c r="I36" s="15">
        <v>1.25</v>
      </c>
      <c r="J36" s="147">
        <v>1.6E-2</v>
      </c>
      <c r="K36" s="87">
        <v>0.05</v>
      </c>
      <c r="L36" s="149">
        <v>0</v>
      </c>
      <c r="M36" s="150">
        <v>0</v>
      </c>
    </row>
    <row r="37" spans="1:13" x14ac:dyDescent="0.2">
      <c r="A37" s="96">
        <v>7</v>
      </c>
      <c r="B37" s="87"/>
      <c r="C37" s="87"/>
      <c r="D37" s="87"/>
      <c r="E37" s="87"/>
      <c r="F37" s="87"/>
      <c r="G37" s="50"/>
      <c r="H37" s="50"/>
      <c r="I37" s="50"/>
      <c r="J37" s="50"/>
      <c r="K37" s="50"/>
      <c r="L37" s="50"/>
      <c r="M37" s="88"/>
    </row>
    <row r="38" spans="1:13" x14ac:dyDescent="0.2">
      <c r="A38" s="96">
        <v>8</v>
      </c>
      <c r="B38" s="87"/>
      <c r="C38" s="87"/>
      <c r="D38" s="87"/>
      <c r="E38" s="87"/>
      <c r="F38" s="87"/>
      <c r="G38" s="50"/>
      <c r="H38" s="50"/>
      <c r="I38" s="50"/>
      <c r="J38" s="50"/>
      <c r="K38" s="50"/>
      <c r="L38" s="50"/>
      <c r="M38" s="88"/>
    </row>
    <row r="39" spans="1:13" x14ac:dyDescent="0.2">
      <c r="A39" s="97">
        <v>9</v>
      </c>
      <c r="B39" s="87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88"/>
    </row>
    <row r="40" spans="1:13" ht="13.5" thickBot="1" x14ac:dyDescent="0.25">
      <c r="A40" s="98">
        <v>10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1"/>
    </row>
  </sheetData>
  <phoneticPr fontId="1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32D-68DE-4B38-B5C9-8DD6083987E3}">
  <sheetPr codeName="Sheet5"/>
  <dimension ref="A1:J100"/>
  <sheetViews>
    <sheetView zoomScale="80" zoomScaleNormal="80" workbookViewId="0">
      <pane xSplit="2" ySplit="6" topLeftCell="C7" activePane="bottomRight" state="frozen"/>
      <selection pane="topRight" activeCell="E1" sqref="E1"/>
      <selection pane="bottomLeft" activeCell="A7" sqref="A7"/>
      <selection pane="bottomRight" activeCell="J47" sqref="J47"/>
    </sheetView>
  </sheetViews>
  <sheetFormatPr defaultRowHeight="12.75" x14ac:dyDescent="0.2"/>
  <cols>
    <col min="1" max="1" width="14.5703125" customWidth="1"/>
    <col min="2" max="2" width="16" style="10" customWidth="1"/>
    <col min="3" max="3" width="17.7109375" customWidth="1"/>
    <col min="4" max="5" width="12.7109375" customWidth="1"/>
    <col min="6" max="6" width="12.7109375" style="10" customWidth="1"/>
    <col min="7" max="7" width="12.7109375" customWidth="1"/>
  </cols>
  <sheetData>
    <row r="1" spans="1:7" x14ac:dyDescent="0.2">
      <c r="A1" s="120">
        <v>1</v>
      </c>
      <c r="B1" s="121">
        <v>2</v>
      </c>
      <c r="C1" s="120">
        <v>3</v>
      </c>
      <c r="D1" s="120">
        <v>4</v>
      </c>
      <c r="E1" s="120">
        <v>5</v>
      </c>
      <c r="F1" s="121">
        <v>6</v>
      </c>
      <c r="G1" s="120">
        <v>7</v>
      </c>
    </row>
    <row r="4" spans="1:7" x14ac:dyDescent="0.2">
      <c r="A4" s="75" t="s">
        <v>694</v>
      </c>
      <c r="C4" s="74">
        <v>3</v>
      </c>
      <c r="D4" s="74">
        <v>4</v>
      </c>
      <c r="E4" s="74">
        <v>5</v>
      </c>
      <c r="F4" s="34">
        <v>6</v>
      </c>
      <c r="G4" s="74">
        <v>7</v>
      </c>
    </row>
    <row r="5" spans="1:7" x14ac:dyDescent="0.2">
      <c r="A5" s="77" t="s">
        <v>0</v>
      </c>
      <c r="C5" s="33" t="s">
        <v>784</v>
      </c>
      <c r="D5" s="33"/>
      <c r="E5" s="33"/>
      <c r="F5" s="33"/>
      <c r="G5" s="33"/>
    </row>
    <row r="6" spans="1:7" x14ac:dyDescent="0.2">
      <c r="A6" s="19" t="s">
        <v>23</v>
      </c>
      <c r="B6" s="34"/>
      <c r="C6" s="65" t="s">
        <v>828</v>
      </c>
      <c r="D6" s="20"/>
      <c r="E6" s="65"/>
      <c r="F6" s="65"/>
      <c r="G6" s="65"/>
    </row>
    <row r="7" spans="1:7" x14ac:dyDescent="0.2">
      <c r="A7" s="151" t="s">
        <v>4</v>
      </c>
      <c r="B7" s="40" t="s">
        <v>21</v>
      </c>
      <c r="C7" s="133">
        <v>8</v>
      </c>
      <c r="D7" s="133"/>
      <c r="E7" s="133"/>
      <c r="F7" s="133"/>
      <c r="G7" s="133"/>
    </row>
    <row r="8" spans="1:7" x14ac:dyDescent="0.2">
      <c r="A8" s="151" t="s">
        <v>5</v>
      </c>
      <c r="B8" s="40" t="s">
        <v>21</v>
      </c>
      <c r="C8" s="134">
        <v>34</v>
      </c>
      <c r="D8" s="134"/>
      <c r="E8" s="134"/>
      <c r="F8" s="134"/>
      <c r="G8" s="134"/>
    </row>
    <row r="9" spans="1:7" x14ac:dyDescent="0.2">
      <c r="A9" s="151" t="s">
        <v>6</v>
      </c>
      <c r="B9" s="40" t="s">
        <v>21</v>
      </c>
      <c r="C9" s="134">
        <v>37</v>
      </c>
      <c r="D9" s="134"/>
      <c r="E9" s="134"/>
      <c r="F9" s="134"/>
      <c r="G9" s="134"/>
    </row>
    <row r="10" spans="1:7" x14ac:dyDescent="0.2">
      <c r="A10" s="151" t="s">
        <v>7</v>
      </c>
      <c r="B10" s="40" t="s">
        <v>21</v>
      </c>
      <c r="C10" s="134">
        <v>45</v>
      </c>
      <c r="D10" s="134"/>
      <c r="E10" s="134"/>
      <c r="F10" s="134"/>
      <c r="G10" s="134"/>
    </row>
    <row r="11" spans="1:7" x14ac:dyDescent="0.2">
      <c r="A11" s="151"/>
      <c r="B11" s="40"/>
      <c r="C11" s="134"/>
      <c r="D11" s="134"/>
      <c r="E11" s="134"/>
      <c r="F11" s="134"/>
      <c r="G11" s="134"/>
    </row>
    <row r="12" spans="1:7" x14ac:dyDescent="0.2">
      <c r="A12" s="151"/>
      <c r="B12" s="40"/>
      <c r="C12" s="134"/>
      <c r="D12" s="134"/>
      <c r="E12" s="134"/>
      <c r="F12" s="134"/>
      <c r="G12" s="134"/>
    </row>
    <row r="13" spans="1:7" x14ac:dyDescent="0.2">
      <c r="A13" s="151"/>
      <c r="B13" s="40"/>
      <c r="C13" s="134"/>
      <c r="D13" s="134"/>
      <c r="E13" s="134"/>
      <c r="F13" s="134"/>
      <c r="G13" s="134"/>
    </row>
    <row r="14" spans="1:7" x14ac:dyDescent="0.2">
      <c r="A14" s="151"/>
      <c r="B14" s="40"/>
      <c r="C14" s="134"/>
      <c r="D14" s="134"/>
      <c r="E14" s="134"/>
      <c r="F14" s="134"/>
      <c r="G14" s="134"/>
    </row>
    <row r="15" spans="1:7" x14ac:dyDescent="0.2">
      <c r="A15" s="151"/>
      <c r="B15" s="40"/>
      <c r="C15" s="134"/>
      <c r="D15" s="134"/>
      <c r="E15" s="134"/>
      <c r="F15" s="134"/>
      <c r="G15" s="134"/>
    </row>
    <row r="16" spans="1:7" x14ac:dyDescent="0.2">
      <c r="A16" s="151"/>
      <c r="B16" s="40"/>
      <c r="C16" s="134"/>
      <c r="D16" s="134"/>
      <c r="E16" s="134"/>
      <c r="F16" s="134"/>
      <c r="G16" s="134"/>
    </row>
    <row r="17" spans="1:10" x14ac:dyDescent="0.2">
      <c r="A17" s="151"/>
      <c r="B17" s="40"/>
      <c r="C17" s="134"/>
      <c r="D17" s="134"/>
      <c r="E17" s="134"/>
      <c r="F17" s="134"/>
      <c r="G17" s="134"/>
    </row>
    <row r="18" spans="1:10" x14ac:dyDescent="0.2">
      <c r="A18" s="151"/>
      <c r="B18" s="40"/>
      <c r="C18" s="134"/>
      <c r="D18" s="134"/>
      <c r="E18" s="134"/>
      <c r="F18" s="134"/>
      <c r="G18" s="134"/>
    </row>
    <row r="19" spans="1:10" x14ac:dyDescent="0.2">
      <c r="A19" s="151" t="s">
        <v>643</v>
      </c>
      <c r="B19" s="40" t="s">
        <v>21</v>
      </c>
      <c r="C19" s="135">
        <v>12.5</v>
      </c>
      <c r="D19" s="134"/>
      <c r="E19" s="134"/>
      <c r="F19" s="134"/>
      <c r="G19" s="134"/>
    </row>
    <row r="20" spans="1:10" x14ac:dyDescent="0.2">
      <c r="A20" s="151" t="s">
        <v>644</v>
      </c>
      <c r="B20" s="40" t="s">
        <v>21</v>
      </c>
      <c r="C20" s="158">
        <v>0.52</v>
      </c>
      <c r="D20" s="134"/>
      <c r="E20" s="159"/>
      <c r="F20" s="160"/>
      <c r="G20" s="134"/>
    </row>
    <row r="21" spans="1:10" x14ac:dyDescent="0.2">
      <c r="A21" s="131"/>
      <c r="B21" s="14"/>
      <c r="C21" s="135"/>
      <c r="D21" s="134"/>
      <c r="E21" s="134"/>
      <c r="F21" s="134"/>
      <c r="G21" s="134"/>
    </row>
    <row r="22" spans="1:10" x14ac:dyDescent="0.2">
      <c r="A22" s="132" t="s">
        <v>708</v>
      </c>
      <c r="B22" s="40" t="s">
        <v>189</v>
      </c>
      <c r="C22" s="135">
        <v>3</v>
      </c>
      <c r="D22" s="135"/>
      <c r="E22" s="155"/>
      <c r="F22" s="135"/>
      <c r="G22" s="134"/>
      <c r="I22" s="3"/>
      <c r="J22" s="3"/>
    </row>
    <row r="23" spans="1:10" x14ac:dyDescent="0.2">
      <c r="A23" s="132" t="s">
        <v>761</v>
      </c>
      <c r="B23" s="40" t="s">
        <v>189</v>
      </c>
      <c r="C23" s="158">
        <v>8.5</v>
      </c>
      <c r="D23" s="135"/>
      <c r="E23" s="155"/>
      <c r="F23" s="138"/>
      <c r="G23" s="134"/>
      <c r="I23" s="3"/>
      <c r="J23" s="3"/>
    </row>
    <row r="24" spans="1:10" x14ac:dyDescent="0.2">
      <c r="A24" s="132" t="s">
        <v>785</v>
      </c>
      <c r="B24" s="40" t="s">
        <v>189</v>
      </c>
      <c r="C24" s="158">
        <v>33.799999999999997</v>
      </c>
      <c r="D24" s="135"/>
      <c r="E24" s="155"/>
      <c r="F24" s="138"/>
      <c r="G24" s="134"/>
      <c r="I24" s="162"/>
    </row>
    <row r="25" spans="1:10" x14ac:dyDescent="0.2">
      <c r="A25" s="132"/>
      <c r="B25" s="40"/>
      <c r="C25" s="135"/>
      <c r="D25" s="135"/>
      <c r="E25" s="155"/>
      <c r="F25" s="138"/>
      <c r="G25" s="134"/>
    </row>
    <row r="26" spans="1:10" x14ac:dyDescent="0.2">
      <c r="A26" s="132"/>
      <c r="B26" s="40"/>
      <c r="C26" s="135"/>
      <c r="D26" s="135"/>
      <c r="E26" s="155"/>
      <c r="F26" s="156"/>
      <c r="G26" s="134"/>
    </row>
    <row r="27" spans="1:10" x14ac:dyDescent="0.2">
      <c r="A27" s="132"/>
      <c r="B27" s="40"/>
      <c r="C27" s="135"/>
      <c r="D27" s="135"/>
      <c r="E27" s="155"/>
      <c r="F27" s="138"/>
      <c r="G27" s="134"/>
    </row>
    <row r="28" spans="1:10" x14ac:dyDescent="0.2">
      <c r="A28" s="132"/>
      <c r="B28" s="40"/>
      <c r="C28" s="158"/>
      <c r="D28" s="135"/>
      <c r="E28" s="155"/>
      <c r="F28" s="138"/>
      <c r="G28" s="134"/>
    </row>
    <row r="29" spans="1:10" x14ac:dyDescent="0.2">
      <c r="A29" s="132"/>
      <c r="B29" s="40"/>
      <c r="C29" s="135"/>
      <c r="D29" s="135"/>
      <c r="E29" s="155"/>
      <c r="F29" s="157"/>
      <c r="G29" s="134"/>
    </row>
    <row r="30" spans="1:10" x14ac:dyDescent="0.2">
      <c r="A30" s="131"/>
      <c r="B30" s="14"/>
      <c r="C30" s="135"/>
      <c r="D30" s="135"/>
      <c r="E30" s="134"/>
      <c r="F30" s="136"/>
      <c r="G30" s="134"/>
    </row>
    <row r="31" spans="1:10" x14ac:dyDescent="0.2">
      <c r="A31" s="131" t="s">
        <v>24</v>
      </c>
      <c r="B31" s="40" t="s">
        <v>41</v>
      </c>
      <c r="C31" s="133">
        <v>38.9</v>
      </c>
      <c r="D31" s="133"/>
      <c r="E31" s="133"/>
      <c r="F31" s="133"/>
      <c r="G31" s="133"/>
    </row>
    <row r="32" spans="1:10" x14ac:dyDescent="0.2">
      <c r="A32" s="151" t="s">
        <v>25</v>
      </c>
      <c r="B32" s="40" t="s">
        <v>40</v>
      </c>
      <c r="C32" s="133">
        <v>1</v>
      </c>
      <c r="D32" s="133"/>
      <c r="E32" s="133"/>
      <c r="F32" s="133"/>
      <c r="G32" s="133"/>
    </row>
    <row r="33" spans="1:7" x14ac:dyDescent="0.2">
      <c r="A33" s="131" t="s">
        <v>829</v>
      </c>
      <c r="B33" s="123"/>
      <c r="C33" s="133">
        <v>2.9</v>
      </c>
      <c r="D33" s="133"/>
      <c r="E33" s="133"/>
      <c r="F33" s="133"/>
      <c r="G33" s="133"/>
    </row>
    <row r="34" spans="1:7" x14ac:dyDescent="0.2">
      <c r="A34" s="131" t="s">
        <v>26</v>
      </c>
      <c r="B34" s="40" t="s">
        <v>42</v>
      </c>
      <c r="C34" s="133">
        <v>2.1999999999999999E-2</v>
      </c>
      <c r="D34" s="133"/>
      <c r="E34" s="133"/>
      <c r="F34" s="133"/>
      <c r="G34" s="133"/>
    </row>
    <row r="35" spans="1:7" x14ac:dyDescent="0.2">
      <c r="A35" s="151" t="s">
        <v>656</v>
      </c>
      <c r="B35" s="40" t="s">
        <v>21</v>
      </c>
      <c r="C35" s="133">
        <v>5</v>
      </c>
      <c r="D35" s="133"/>
      <c r="E35" s="133"/>
      <c r="F35" s="133"/>
      <c r="G35" s="133"/>
    </row>
    <row r="36" spans="1:7" x14ac:dyDescent="0.2">
      <c r="A36" s="152" t="s">
        <v>657</v>
      </c>
      <c r="B36" s="40" t="s">
        <v>658</v>
      </c>
      <c r="C36" s="135">
        <v>0.01</v>
      </c>
      <c r="D36" s="135"/>
      <c r="E36" s="135"/>
      <c r="F36" s="135"/>
      <c r="G36" s="135"/>
    </row>
    <row r="37" spans="1:7" x14ac:dyDescent="0.2">
      <c r="A37" s="131"/>
      <c r="B37" s="41"/>
      <c r="C37" s="137"/>
      <c r="D37" s="137"/>
      <c r="E37" s="137"/>
      <c r="F37" s="137"/>
      <c r="G37" s="137"/>
    </row>
    <row r="38" spans="1:7" x14ac:dyDescent="0.2">
      <c r="A38" s="151" t="s">
        <v>8</v>
      </c>
      <c r="B38" s="40" t="s">
        <v>21</v>
      </c>
      <c r="C38" s="133">
        <v>10</v>
      </c>
      <c r="D38" s="133"/>
      <c r="E38" s="133"/>
      <c r="F38" s="133"/>
      <c r="G38" s="133"/>
    </row>
    <row r="39" spans="1:7" x14ac:dyDescent="0.2">
      <c r="A39" s="151" t="s">
        <v>9</v>
      </c>
      <c r="B39" s="40" t="s">
        <v>21</v>
      </c>
      <c r="C39" s="133">
        <v>25</v>
      </c>
      <c r="D39" s="133"/>
      <c r="E39" s="133"/>
      <c r="F39" s="133"/>
      <c r="G39" s="133"/>
    </row>
    <row r="40" spans="1:7" x14ac:dyDescent="0.2">
      <c r="A40" s="151" t="s">
        <v>10</v>
      </c>
      <c r="B40" s="40" t="s">
        <v>21</v>
      </c>
      <c r="C40" s="133">
        <v>35</v>
      </c>
      <c r="D40" s="133"/>
      <c r="E40" s="133"/>
      <c r="F40" s="133"/>
      <c r="G40" s="133"/>
    </row>
    <row r="41" spans="1:7" x14ac:dyDescent="0.2">
      <c r="A41" s="151" t="s">
        <v>11</v>
      </c>
      <c r="B41" s="40" t="s">
        <v>21</v>
      </c>
      <c r="C41" s="133">
        <v>45</v>
      </c>
      <c r="D41" s="133"/>
      <c r="E41" s="133"/>
      <c r="F41" s="133"/>
      <c r="G41" s="133"/>
    </row>
    <row r="42" spans="1:7" x14ac:dyDescent="0.2">
      <c r="A42" s="131" t="s">
        <v>12</v>
      </c>
      <c r="B42" s="40" t="s">
        <v>40</v>
      </c>
      <c r="C42" s="133">
        <v>0.6</v>
      </c>
      <c r="D42" s="133"/>
      <c r="E42" s="133"/>
      <c r="F42" s="133"/>
      <c r="G42" s="133"/>
    </row>
    <row r="43" spans="1:7" x14ac:dyDescent="0.2">
      <c r="A43" s="131" t="s">
        <v>13</v>
      </c>
      <c r="B43" s="40" t="s">
        <v>43</v>
      </c>
      <c r="C43" s="133">
        <v>3.5</v>
      </c>
      <c r="D43" s="133"/>
      <c r="E43" s="133"/>
      <c r="F43" s="133"/>
      <c r="G43" s="133"/>
    </row>
    <row r="44" spans="1:7" x14ac:dyDescent="0.2">
      <c r="A44" s="131"/>
      <c r="B44" s="40"/>
      <c r="C44" s="133"/>
      <c r="D44" s="133"/>
      <c r="E44" s="133"/>
      <c r="F44" s="133"/>
      <c r="G44" s="133"/>
    </row>
    <row r="45" spans="1:7" x14ac:dyDescent="0.2">
      <c r="A45" s="131" t="s">
        <v>114</v>
      </c>
      <c r="B45" s="40" t="s">
        <v>44</v>
      </c>
      <c r="C45" s="133">
        <v>0.7</v>
      </c>
      <c r="D45" s="133"/>
      <c r="E45" s="133"/>
      <c r="F45" s="133"/>
      <c r="G45" s="133"/>
    </row>
    <row r="46" spans="1:7" x14ac:dyDescent="0.2">
      <c r="A46" s="131" t="s">
        <v>115</v>
      </c>
      <c r="B46" s="40" t="s">
        <v>44</v>
      </c>
      <c r="C46" s="133">
        <v>0.15</v>
      </c>
      <c r="D46" s="133"/>
      <c r="E46" s="133"/>
      <c r="F46" s="133"/>
      <c r="G46" s="133"/>
    </row>
    <row r="47" spans="1:7" x14ac:dyDescent="0.2">
      <c r="A47" s="131" t="s">
        <v>116</v>
      </c>
      <c r="B47" s="40" t="s">
        <v>45</v>
      </c>
      <c r="C47" s="133">
        <v>210</v>
      </c>
      <c r="D47" s="133"/>
      <c r="E47" s="133"/>
      <c r="F47" s="133"/>
      <c r="G47" s="133"/>
    </row>
    <row r="48" spans="1:7" x14ac:dyDescent="0.2">
      <c r="A48" s="131" t="s">
        <v>117</v>
      </c>
      <c r="B48" s="40" t="s">
        <v>46</v>
      </c>
      <c r="C48" s="133">
        <v>0.05</v>
      </c>
      <c r="D48" s="133"/>
      <c r="E48" s="133"/>
      <c r="F48" s="133"/>
      <c r="G48" s="133"/>
    </row>
    <row r="49" spans="1:7" x14ac:dyDescent="0.2">
      <c r="A49" s="131" t="s">
        <v>14</v>
      </c>
      <c r="B49" s="40" t="s">
        <v>40</v>
      </c>
      <c r="C49" s="133">
        <v>0.22</v>
      </c>
      <c r="D49" s="133"/>
      <c r="E49" s="133"/>
      <c r="F49" s="133"/>
      <c r="G49" s="133"/>
    </row>
    <row r="50" spans="1:7" x14ac:dyDescent="0.2">
      <c r="A50" s="151" t="s">
        <v>105</v>
      </c>
      <c r="B50" s="40" t="s">
        <v>40</v>
      </c>
      <c r="C50" s="133">
        <v>1</v>
      </c>
      <c r="D50" s="133"/>
      <c r="E50" s="133"/>
      <c r="F50" s="133"/>
      <c r="G50" s="133"/>
    </row>
    <row r="51" spans="1:7" x14ac:dyDescent="0.2">
      <c r="A51" s="132" t="s">
        <v>645</v>
      </c>
      <c r="B51" s="40" t="s">
        <v>651</v>
      </c>
      <c r="C51" s="135">
        <v>1.4999999999999999E-2</v>
      </c>
      <c r="D51" s="135"/>
      <c r="E51" s="135"/>
      <c r="F51" s="135"/>
      <c r="G51" s="135"/>
    </row>
    <row r="52" spans="1:7" x14ac:dyDescent="0.2">
      <c r="A52" s="152" t="s">
        <v>646</v>
      </c>
      <c r="B52" s="40" t="s">
        <v>650</v>
      </c>
      <c r="C52" s="135">
        <v>0</v>
      </c>
      <c r="D52" s="135"/>
      <c r="E52" s="135"/>
      <c r="F52" s="135"/>
      <c r="G52" s="135"/>
    </row>
    <row r="53" spans="1:7" x14ac:dyDescent="0.2">
      <c r="A53" s="152" t="s">
        <v>647</v>
      </c>
      <c r="B53" s="40" t="s">
        <v>650</v>
      </c>
      <c r="C53" s="135">
        <v>0</v>
      </c>
      <c r="D53" s="135"/>
      <c r="E53" s="135"/>
      <c r="F53" s="135"/>
      <c r="G53" s="135"/>
    </row>
    <row r="54" spans="1:7" x14ac:dyDescent="0.2">
      <c r="A54" s="152" t="s">
        <v>648</v>
      </c>
      <c r="B54" s="40" t="s">
        <v>650</v>
      </c>
      <c r="C54" s="135">
        <v>9999</v>
      </c>
      <c r="D54" s="135"/>
      <c r="E54" s="135"/>
      <c r="F54" s="135"/>
      <c r="G54" s="135"/>
    </row>
    <row r="55" spans="1:7" x14ac:dyDescent="0.2">
      <c r="A55" s="152" t="s">
        <v>649</v>
      </c>
      <c r="B55" s="40" t="s">
        <v>650</v>
      </c>
      <c r="C55" s="135">
        <v>9999</v>
      </c>
      <c r="D55" s="135"/>
      <c r="E55" s="135"/>
      <c r="F55" s="135"/>
      <c r="G55" s="135"/>
    </row>
    <row r="56" spans="1:7" x14ac:dyDescent="0.2">
      <c r="A56" s="131"/>
      <c r="B56" s="40"/>
      <c r="C56" s="133"/>
      <c r="D56" s="133"/>
      <c r="E56" s="133"/>
      <c r="F56" s="133"/>
      <c r="G56" s="133"/>
    </row>
    <row r="57" spans="1:7" x14ac:dyDescent="0.2">
      <c r="A57" s="151" t="s">
        <v>106</v>
      </c>
      <c r="B57" s="40" t="s">
        <v>19</v>
      </c>
      <c r="C57" s="133">
        <v>150</v>
      </c>
      <c r="D57" s="133"/>
      <c r="E57" s="133"/>
      <c r="F57" s="133"/>
      <c r="G57" s="133"/>
    </row>
    <row r="58" spans="1:7" x14ac:dyDescent="0.2">
      <c r="A58" s="131" t="s">
        <v>118</v>
      </c>
      <c r="B58" s="40" t="s">
        <v>19</v>
      </c>
      <c r="C58" s="133">
        <v>1100</v>
      </c>
      <c r="D58" s="133"/>
      <c r="E58" s="133"/>
      <c r="F58" s="133"/>
      <c r="G58" s="133"/>
    </row>
    <row r="59" spans="1:7" x14ac:dyDescent="0.2">
      <c r="A59" s="151" t="s">
        <v>39</v>
      </c>
      <c r="B59" s="40" t="s">
        <v>706</v>
      </c>
      <c r="C59" s="133">
        <v>33</v>
      </c>
      <c r="D59" s="133"/>
      <c r="E59" s="133"/>
      <c r="F59" s="133"/>
      <c r="G59" s="133"/>
    </row>
    <row r="60" spans="1:7" x14ac:dyDescent="0.2">
      <c r="A60" s="151" t="s">
        <v>119</v>
      </c>
      <c r="B60" s="40" t="s">
        <v>107</v>
      </c>
      <c r="C60" s="133">
        <v>9</v>
      </c>
      <c r="D60" s="133"/>
      <c r="E60" s="133"/>
      <c r="F60" s="133"/>
      <c r="G60" s="133"/>
    </row>
    <row r="61" spans="1:7" x14ac:dyDescent="0.2">
      <c r="A61" s="151" t="s">
        <v>2</v>
      </c>
      <c r="B61" s="40" t="s">
        <v>40</v>
      </c>
      <c r="C61" s="133">
        <v>0.25</v>
      </c>
      <c r="D61" s="133"/>
      <c r="E61" s="133"/>
      <c r="F61" s="133"/>
      <c r="G61" s="133"/>
    </row>
    <row r="62" spans="1:7" x14ac:dyDescent="0.2">
      <c r="A62" s="151" t="s">
        <v>1</v>
      </c>
      <c r="B62" s="40" t="s">
        <v>40</v>
      </c>
      <c r="C62" s="133">
        <v>0.35</v>
      </c>
      <c r="D62" s="133"/>
      <c r="E62" s="133"/>
      <c r="F62" s="133"/>
      <c r="G62" s="133"/>
    </row>
    <row r="63" spans="1:7" x14ac:dyDescent="0.2">
      <c r="A63" s="151" t="s">
        <v>3</v>
      </c>
      <c r="B63" s="40" t="s">
        <v>40</v>
      </c>
      <c r="C63" s="133">
        <v>0</v>
      </c>
      <c r="D63" s="133"/>
      <c r="E63" s="133"/>
      <c r="F63" s="133"/>
      <c r="G63" s="133"/>
    </row>
    <row r="64" spans="1:7" x14ac:dyDescent="0.2">
      <c r="A64" s="152" t="s">
        <v>655</v>
      </c>
      <c r="B64" s="40" t="s">
        <v>189</v>
      </c>
      <c r="C64" s="135">
        <v>40</v>
      </c>
      <c r="D64" s="135"/>
      <c r="E64" s="135"/>
      <c r="F64" s="135"/>
      <c r="G64" s="135"/>
    </row>
    <row r="65" spans="1:7" x14ac:dyDescent="0.2">
      <c r="A65" s="131"/>
      <c r="B65" s="40"/>
      <c r="C65" s="133"/>
      <c r="D65" s="133"/>
      <c r="E65" s="133"/>
      <c r="F65" s="133"/>
      <c r="G65" s="133"/>
    </row>
    <row r="66" spans="1:7" x14ac:dyDescent="0.2">
      <c r="A66" s="131" t="s">
        <v>47</v>
      </c>
      <c r="B66" s="40" t="s">
        <v>53</v>
      </c>
      <c r="C66" s="133">
        <v>1.35</v>
      </c>
      <c r="D66" s="133"/>
      <c r="E66" s="133"/>
      <c r="F66" s="133"/>
      <c r="G66" s="133"/>
    </row>
    <row r="67" spans="1:7" x14ac:dyDescent="0.2">
      <c r="A67" s="131" t="s">
        <v>48</v>
      </c>
      <c r="B67" s="40" t="s">
        <v>55</v>
      </c>
      <c r="C67" s="133">
        <v>0.4</v>
      </c>
      <c r="D67" s="133"/>
      <c r="E67" s="133"/>
      <c r="F67" s="133"/>
      <c r="G67" s="133"/>
    </row>
    <row r="68" spans="1:7" x14ac:dyDescent="0.2">
      <c r="A68" s="131" t="s">
        <v>49</v>
      </c>
      <c r="B68" s="40" t="s">
        <v>54</v>
      </c>
      <c r="C68" s="133">
        <v>1.06E-2</v>
      </c>
      <c r="D68" s="133"/>
      <c r="E68" s="133"/>
      <c r="F68" s="133"/>
      <c r="G68" s="133"/>
    </row>
    <row r="69" spans="1:7" x14ac:dyDescent="0.2">
      <c r="A69" s="131" t="s">
        <v>50</v>
      </c>
      <c r="B69" s="44" t="s">
        <v>54</v>
      </c>
      <c r="C69" s="133">
        <v>2.5000000000000001E-3</v>
      </c>
      <c r="D69" s="133"/>
      <c r="E69" s="133"/>
      <c r="F69" s="133"/>
      <c r="G69" s="133"/>
    </row>
    <row r="70" spans="1:7" x14ac:dyDescent="0.2">
      <c r="A70" s="131" t="s">
        <v>51</v>
      </c>
      <c r="B70" s="10" t="s">
        <v>54</v>
      </c>
      <c r="C70" s="133">
        <v>1.0999999999999999E-2</v>
      </c>
      <c r="D70" s="133"/>
      <c r="E70" s="133"/>
      <c r="F70" s="133"/>
      <c r="G70" s="133"/>
    </row>
    <row r="71" spans="1:7" x14ac:dyDescent="0.2">
      <c r="A71" s="131" t="s">
        <v>52</v>
      </c>
      <c r="B71" s="40" t="s">
        <v>56</v>
      </c>
      <c r="C71" s="133">
        <v>0.6</v>
      </c>
      <c r="D71" s="133"/>
      <c r="E71" s="133"/>
      <c r="F71" s="133"/>
      <c r="G71" s="133"/>
    </row>
    <row r="72" spans="1:7" x14ac:dyDescent="0.2">
      <c r="A72" s="131"/>
      <c r="B72" s="40"/>
      <c r="C72" s="133"/>
      <c r="D72" s="133"/>
      <c r="E72" s="133"/>
      <c r="F72" s="133"/>
      <c r="G72" s="133"/>
    </row>
    <row r="73" spans="1:7" x14ac:dyDescent="0.2">
      <c r="F73" s="13"/>
    </row>
    <row r="74" spans="1:7" x14ac:dyDescent="0.2">
      <c r="A74" s="10"/>
      <c r="C74" s="10"/>
      <c r="D74" s="10"/>
      <c r="E74" s="10"/>
      <c r="F74" s="13"/>
      <c r="G74" s="10"/>
    </row>
    <row r="75" spans="1:7" x14ac:dyDescent="0.2">
      <c r="A75" s="10"/>
      <c r="C75" s="10"/>
      <c r="D75" s="10"/>
      <c r="E75" s="10"/>
      <c r="F75" s="13"/>
      <c r="G75" s="10"/>
    </row>
    <row r="76" spans="1:7" x14ac:dyDescent="0.2">
      <c r="A76" s="10"/>
      <c r="C76" s="10"/>
      <c r="D76" s="10"/>
      <c r="E76" s="10"/>
      <c r="F76" s="34"/>
      <c r="G76" s="10"/>
    </row>
    <row r="77" spans="1:7" x14ac:dyDescent="0.2">
      <c r="A77" s="10"/>
      <c r="C77" s="10"/>
      <c r="D77" s="10"/>
      <c r="E77" s="10"/>
      <c r="F77" s="34"/>
      <c r="G77" s="10"/>
    </row>
    <row r="78" spans="1:7" x14ac:dyDescent="0.2">
      <c r="A78" s="10"/>
      <c r="C78" s="10"/>
      <c r="D78" s="10"/>
      <c r="E78" s="10"/>
      <c r="G78" s="10"/>
    </row>
    <row r="79" spans="1:7" x14ac:dyDescent="0.2">
      <c r="A79" s="10"/>
      <c r="C79" s="10"/>
      <c r="D79" s="10"/>
      <c r="E79" s="10"/>
      <c r="G79" s="10"/>
    </row>
    <row r="80" spans="1:7" x14ac:dyDescent="0.2">
      <c r="A80" s="10"/>
      <c r="C80" s="10"/>
      <c r="D80" s="10"/>
      <c r="E80" s="10"/>
      <c r="G80" s="10"/>
    </row>
    <row r="100" spans="1:2" x14ac:dyDescent="0.2">
      <c r="A100" s="50"/>
      <c r="B100" s="14"/>
    </row>
  </sheetData>
  <phoneticPr fontId="1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5E886-9FC0-43B3-9523-69A10F933C7A}">
  <sheetPr codeName="Sheet9"/>
  <dimension ref="A1:N67"/>
  <sheetViews>
    <sheetView zoomScale="80" zoomScaleNormal="80" workbookViewId="0"/>
  </sheetViews>
  <sheetFormatPr defaultRowHeight="12.75" x14ac:dyDescent="0.2"/>
  <cols>
    <col min="2" max="13" width="6.7109375" style="52" customWidth="1"/>
    <col min="14" max="14" width="6.7109375" style="53" customWidth="1"/>
  </cols>
  <sheetData>
    <row r="1" spans="1:14" x14ac:dyDescent="0.2">
      <c r="A1" t="s">
        <v>512</v>
      </c>
    </row>
    <row r="2" spans="1:14" x14ac:dyDescent="0.2">
      <c r="A2" s="54"/>
      <c r="B2" s="55" t="s">
        <v>513</v>
      </c>
      <c r="C2" s="55" t="s">
        <v>514</v>
      </c>
      <c r="D2" s="55" t="s">
        <v>515</v>
      </c>
      <c r="E2" s="55" t="s">
        <v>516</v>
      </c>
      <c r="F2" s="55" t="s">
        <v>517</v>
      </c>
      <c r="G2" s="55" t="s">
        <v>518</v>
      </c>
      <c r="H2" s="55" t="s">
        <v>519</v>
      </c>
      <c r="I2" s="55" t="s">
        <v>520</v>
      </c>
      <c r="J2" s="55" t="s">
        <v>521</v>
      </c>
      <c r="K2" s="55" t="s">
        <v>522</v>
      </c>
      <c r="L2" s="55" t="s">
        <v>523</v>
      </c>
      <c r="M2" s="55" t="s">
        <v>524</v>
      </c>
    </row>
    <row r="3" spans="1:14" x14ac:dyDescent="0.2">
      <c r="A3" s="52">
        <v>1</v>
      </c>
      <c r="B3" s="53">
        <v>1</v>
      </c>
      <c r="C3" s="53">
        <v>32</v>
      </c>
      <c r="D3" s="53">
        <v>60</v>
      </c>
      <c r="E3" s="53">
        <v>91</v>
      </c>
      <c r="F3" s="53">
        <v>121</v>
      </c>
      <c r="G3" s="53">
        <v>152</v>
      </c>
      <c r="H3" s="53">
        <v>182</v>
      </c>
      <c r="I3" s="53">
        <v>213</v>
      </c>
      <c r="J3" s="53">
        <v>244</v>
      </c>
      <c r="K3" s="53">
        <v>274</v>
      </c>
      <c r="L3" s="53">
        <v>305</v>
      </c>
      <c r="M3" s="53">
        <v>335</v>
      </c>
      <c r="N3"/>
    </row>
    <row r="4" spans="1:14" x14ac:dyDescent="0.2">
      <c r="A4" s="52">
        <v>2</v>
      </c>
      <c r="B4" s="53">
        <v>2</v>
      </c>
      <c r="C4" s="53">
        <v>33</v>
      </c>
      <c r="D4" s="53">
        <v>61</v>
      </c>
      <c r="E4" s="53">
        <v>92</v>
      </c>
      <c r="F4" s="53">
        <v>122</v>
      </c>
      <c r="G4" s="53">
        <v>153</v>
      </c>
      <c r="H4" s="53">
        <v>183</v>
      </c>
      <c r="I4" s="53">
        <v>214</v>
      </c>
      <c r="J4" s="53">
        <v>245</v>
      </c>
      <c r="K4" s="53">
        <v>275</v>
      </c>
      <c r="L4" s="53">
        <v>306</v>
      </c>
      <c r="M4" s="53">
        <v>336</v>
      </c>
      <c r="N4"/>
    </row>
    <row r="5" spans="1:14" x14ac:dyDescent="0.2">
      <c r="A5" s="52">
        <v>3</v>
      </c>
      <c r="B5" s="53">
        <v>3</v>
      </c>
      <c r="C5" s="53">
        <v>34</v>
      </c>
      <c r="D5" s="53">
        <v>62</v>
      </c>
      <c r="E5" s="53">
        <v>93</v>
      </c>
      <c r="F5" s="53">
        <v>123</v>
      </c>
      <c r="G5" s="53">
        <v>154</v>
      </c>
      <c r="H5" s="53">
        <v>184</v>
      </c>
      <c r="I5" s="53">
        <v>215</v>
      </c>
      <c r="J5" s="53">
        <v>246</v>
      </c>
      <c r="K5" s="53">
        <v>276</v>
      </c>
      <c r="L5" s="53">
        <v>307</v>
      </c>
      <c r="M5" s="53">
        <v>337</v>
      </c>
      <c r="N5"/>
    </row>
    <row r="6" spans="1:14" x14ac:dyDescent="0.2">
      <c r="A6" s="52">
        <v>4</v>
      </c>
      <c r="B6" s="53">
        <v>4</v>
      </c>
      <c r="C6" s="53">
        <v>35</v>
      </c>
      <c r="D6" s="53">
        <v>63</v>
      </c>
      <c r="E6" s="53">
        <v>94</v>
      </c>
      <c r="F6" s="53">
        <v>124</v>
      </c>
      <c r="G6" s="53">
        <v>155</v>
      </c>
      <c r="H6" s="53">
        <v>185</v>
      </c>
      <c r="I6" s="53">
        <v>216</v>
      </c>
      <c r="J6" s="53">
        <v>247</v>
      </c>
      <c r="K6" s="53">
        <v>277</v>
      </c>
      <c r="L6" s="53">
        <v>308</v>
      </c>
      <c r="M6" s="53">
        <v>338</v>
      </c>
      <c r="N6"/>
    </row>
    <row r="7" spans="1:14" x14ac:dyDescent="0.2">
      <c r="A7" s="52">
        <v>5</v>
      </c>
      <c r="B7" s="53">
        <v>5</v>
      </c>
      <c r="C7" s="53">
        <v>36</v>
      </c>
      <c r="D7" s="53">
        <v>64</v>
      </c>
      <c r="E7" s="53">
        <v>95</v>
      </c>
      <c r="F7" s="53">
        <v>125</v>
      </c>
      <c r="G7" s="53">
        <v>156</v>
      </c>
      <c r="H7" s="53">
        <v>186</v>
      </c>
      <c r="I7" s="53">
        <v>217</v>
      </c>
      <c r="J7" s="53">
        <v>248</v>
      </c>
      <c r="K7" s="53">
        <v>278</v>
      </c>
      <c r="L7" s="53">
        <v>309</v>
      </c>
      <c r="M7" s="53">
        <v>339</v>
      </c>
      <c r="N7"/>
    </row>
    <row r="8" spans="1:14" x14ac:dyDescent="0.2">
      <c r="A8" s="52">
        <v>6</v>
      </c>
      <c r="B8" s="53">
        <v>6</v>
      </c>
      <c r="C8" s="53">
        <v>37</v>
      </c>
      <c r="D8" s="53">
        <v>65</v>
      </c>
      <c r="E8" s="53">
        <v>96</v>
      </c>
      <c r="F8" s="53">
        <v>126</v>
      </c>
      <c r="G8" s="53">
        <v>157</v>
      </c>
      <c r="H8" s="53">
        <v>187</v>
      </c>
      <c r="I8" s="53">
        <v>218</v>
      </c>
      <c r="J8" s="53">
        <v>249</v>
      </c>
      <c r="K8" s="53">
        <v>279</v>
      </c>
      <c r="L8" s="53">
        <v>310</v>
      </c>
      <c r="M8" s="53">
        <v>340</v>
      </c>
      <c r="N8"/>
    </row>
    <row r="9" spans="1:14" x14ac:dyDescent="0.2">
      <c r="A9" s="52">
        <v>7</v>
      </c>
      <c r="B9" s="53">
        <v>7</v>
      </c>
      <c r="C9" s="53">
        <v>38</v>
      </c>
      <c r="D9" s="53">
        <v>66</v>
      </c>
      <c r="E9" s="53">
        <v>97</v>
      </c>
      <c r="F9" s="53">
        <v>127</v>
      </c>
      <c r="G9" s="53">
        <v>158</v>
      </c>
      <c r="H9" s="53">
        <v>188</v>
      </c>
      <c r="I9" s="53">
        <v>219</v>
      </c>
      <c r="J9" s="53">
        <v>250</v>
      </c>
      <c r="K9" s="53">
        <v>280</v>
      </c>
      <c r="L9" s="53">
        <v>311</v>
      </c>
      <c r="M9" s="53">
        <v>341</v>
      </c>
      <c r="N9"/>
    </row>
    <row r="10" spans="1:14" x14ac:dyDescent="0.2">
      <c r="A10" s="52">
        <v>8</v>
      </c>
      <c r="B10" s="53">
        <v>8</v>
      </c>
      <c r="C10" s="53">
        <v>39</v>
      </c>
      <c r="D10" s="53">
        <v>67</v>
      </c>
      <c r="E10" s="53">
        <v>98</v>
      </c>
      <c r="F10" s="53">
        <v>128</v>
      </c>
      <c r="G10" s="53">
        <v>159</v>
      </c>
      <c r="H10" s="53">
        <v>189</v>
      </c>
      <c r="I10" s="53">
        <v>220</v>
      </c>
      <c r="J10" s="53">
        <v>251</v>
      </c>
      <c r="K10" s="53">
        <v>281</v>
      </c>
      <c r="L10" s="53">
        <v>312</v>
      </c>
      <c r="M10" s="53">
        <v>342</v>
      </c>
      <c r="N10"/>
    </row>
    <row r="11" spans="1:14" x14ac:dyDescent="0.2">
      <c r="A11" s="52">
        <v>9</v>
      </c>
      <c r="B11" s="53">
        <v>9</v>
      </c>
      <c r="C11" s="53">
        <v>40</v>
      </c>
      <c r="D11" s="53">
        <v>68</v>
      </c>
      <c r="E11" s="53">
        <v>99</v>
      </c>
      <c r="F11" s="53">
        <v>129</v>
      </c>
      <c r="G11" s="53">
        <v>160</v>
      </c>
      <c r="H11" s="53">
        <v>190</v>
      </c>
      <c r="I11" s="53">
        <v>221</v>
      </c>
      <c r="J11" s="53">
        <v>252</v>
      </c>
      <c r="K11" s="53">
        <v>282</v>
      </c>
      <c r="L11" s="53">
        <v>313</v>
      </c>
      <c r="M11" s="53">
        <v>343</v>
      </c>
      <c r="N11"/>
    </row>
    <row r="12" spans="1:14" x14ac:dyDescent="0.2">
      <c r="A12" s="52">
        <v>10</v>
      </c>
      <c r="B12" s="53">
        <v>10</v>
      </c>
      <c r="C12" s="53">
        <v>41</v>
      </c>
      <c r="D12" s="53">
        <v>69</v>
      </c>
      <c r="E12" s="53">
        <v>100</v>
      </c>
      <c r="F12" s="53">
        <v>130</v>
      </c>
      <c r="G12" s="53">
        <v>161</v>
      </c>
      <c r="H12" s="53">
        <v>191</v>
      </c>
      <c r="I12" s="53">
        <v>222</v>
      </c>
      <c r="J12" s="53">
        <v>253</v>
      </c>
      <c r="K12" s="53">
        <v>283</v>
      </c>
      <c r="L12" s="53">
        <v>314</v>
      </c>
      <c r="M12" s="53">
        <v>344</v>
      </c>
      <c r="N12"/>
    </row>
    <row r="13" spans="1:14" x14ac:dyDescent="0.2">
      <c r="A13" s="52">
        <v>11</v>
      </c>
      <c r="B13" s="53">
        <v>11</v>
      </c>
      <c r="C13" s="53">
        <v>42</v>
      </c>
      <c r="D13" s="53">
        <v>70</v>
      </c>
      <c r="E13" s="53">
        <v>101</v>
      </c>
      <c r="F13" s="53">
        <v>131</v>
      </c>
      <c r="G13" s="53">
        <v>162</v>
      </c>
      <c r="H13" s="53">
        <v>192</v>
      </c>
      <c r="I13" s="53">
        <v>223</v>
      </c>
      <c r="J13" s="53">
        <v>254</v>
      </c>
      <c r="K13" s="53">
        <v>284</v>
      </c>
      <c r="L13" s="53">
        <v>315</v>
      </c>
      <c r="M13" s="53">
        <v>345</v>
      </c>
      <c r="N13"/>
    </row>
    <row r="14" spans="1:14" x14ac:dyDescent="0.2">
      <c r="A14" s="52">
        <v>12</v>
      </c>
      <c r="B14" s="53">
        <v>12</v>
      </c>
      <c r="C14" s="53">
        <v>43</v>
      </c>
      <c r="D14" s="53">
        <v>71</v>
      </c>
      <c r="E14" s="53">
        <v>102</v>
      </c>
      <c r="F14" s="53">
        <v>132</v>
      </c>
      <c r="G14" s="53">
        <v>163</v>
      </c>
      <c r="H14" s="53">
        <v>193</v>
      </c>
      <c r="I14" s="53">
        <v>224</v>
      </c>
      <c r="J14" s="53">
        <v>255</v>
      </c>
      <c r="K14" s="53">
        <v>285</v>
      </c>
      <c r="L14" s="53">
        <v>316</v>
      </c>
      <c r="M14" s="53">
        <v>346</v>
      </c>
      <c r="N14"/>
    </row>
    <row r="15" spans="1:14" x14ac:dyDescent="0.2">
      <c r="A15" s="52">
        <v>13</v>
      </c>
      <c r="B15" s="53">
        <v>13</v>
      </c>
      <c r="C15" s="53">
        <v>44</v>
      </c>
      <c r="D15" s="53">
        <v>72</v>
      </c>
      <c r="E15" s="53">
        <v>103</v>
      </c>
      <c r="F15" s="53">
        <v>133</v>
      </c>
      <c r="G15" s="53">
        <v>164</v>
      </c>
      <c r="H15" s="53">
        <v>194</v>
      </c>
      <c r="I15" s="53">
        <v>225</v>
      </c>
      <c r="J15" s="53">
        <v>256</v>
      </c>
      <c r="K15" s="53">
        <v>286</v>
      </c>
      <c r="L15" s="53">
        <v>317</v>
      </c>
      <c r="M15" s="53">
        <v>347</v>
      </c>
      <c r="N15"/>
    </row>
    <row r="16" spans="1:14" x14ac:dyDescent="0.2">
      <c r="A16" s="52">
        <v>14</v>
      </c>
      <c r="B16" s="53">
        <v>14</v>
      </c>
      <c r="C16" s="53">
        <v>45</v>
      </c>
      <c r="D16" s="53">
        <v>73</v>
      </c>
      <c r="E16" s="53">
        <v>104</v>
      </c>
      <c r="F16" s="53">
        <v>134</v>
      </c>
      <c r="G16" s="53">
        <v>165</v>
      </c>
      <c r="H16" s="53">
        <v>195</v>
      </c>
      <c r="I16" s="53">
        <v>226</v>
      </c>
      <c r="J16" s="53">
        <v>257</v>
      </c>
      <c r="K16" s="53">
        <v>287</v>
      </c>
      <c r="L16" s="53">
        <v>318</v>
      </c>
      <c r="M16" s="53">
        <v>348</v>
      </c>
      <c r="N16"/>
    </row>
    <row r="17" spans="1:14" x14ac:dyDescent="0.2">
      <c r="A17" s="52">
        <v>15</v>
      </c>
      <c r="B17" s="53">
        <v>15</v>
      </c>
      <c r="C17" s="53">
        <v>46</v>
      </c>
      <c r="D17" s="53">
        <v>74</v>
      </c>
      <c r="E17" s="53">
        <v>105</v>
      </c>
      <c r="F17" s="53">
        <v>135</v>
      </c>
      <c r="G17" s="53">
        <v>166</v>
      </c>
      <c r="H17" s="53">
        <v>196</v>
      </c>
      <c r="I17" s="53">
        <v>227</v>
      </c>
      <c r="J17" s="53">
        <v>258</v>
      </c>
      <c r="K17" s="53">
        <v>288</v>
      </c>
      <c r="L17" s="53">
        <v>319</v>
      </c>
      <c r="M17" s="53">
        <v>349</v>
      </c>
      <c r="N17"/>
    </row>
    <row r="18" spans="1:14" x14ac:dyDescent="0.2">
      <c r="A18" s="52">
        <v>16</v>
      </c>
      <c r="B18" s="53">
        <v>16</v>
      </c>
      <c r="C18" s="53">
        <v>47</v>
      </c>
      <c r="D18" s="53">
        <v>75</v>
      </c>
      <c r="E18" s="53">
        <v>106</v>
      </c>
      <c r="F18" s="53">
        <v>136</v>
      </c>
      <c r="G18" s="53">
        <v>167</v>
      </c>
      <c r="H18" s="53">
        <v>197</v>
      </c>
      <c r="I18" s="53">
        <v>228</v>
      </c>
      <c r="J18" s="53">
        <v>259</v>
      </c>
      <c r="K18" s="53">
        <v>289</v>
      </c>
      <c r="L18" s="53">
        <v>320</v>
      </c>
      <c r="M18" s="53">
        <v>350</v>
      </c>
      <c r="N18"/>
    </row>
    <row r="19" spans="1:14" x14ac:dyDescent="0.2">
      <c r="A19" s="52">
        <v>17</v>
      </c>
      <c r="B19" s="53">
        <v>17</v>
      </c>
      <c r="C19" s="53">
        <v>48</v>
      </c>
      <c r="D19" s="53">
        <v>76</v>
      </c>
      <c r="E19" s="53">
        <v>107</v>
      </c>
      <c r="F19" s="53">
        <v>137</v>
      </c>
      <c r="G19" s="53">
        <v>168</v>
      </c>
      <c r="H19" s="53">
        <v>198</v>
      </c>
      <c r="I19" s="53">
        <v>229</v>
      </c>
      <c r="J19" s="53">
        <v>260</v>
      </c>
      <c r="K19" s="53">
        <v>290</v>
      </c>
      <c r="L19" s="53">
        <v>321</v>
      </c>
      <c r="M19" s="53">
        <v>351</v>
      </c>
      <c r="N19"/>
    </row>
    <row r="20" spans="1:14" x14ac:dyDescent="0.2">
      <c r="A20" s="52">
        <v>18</v>
      </c>
      <c r="B20" s="53">
        <v>18</v>
      </c>
      <c r="C20" s="53">
        <v>49</v>
      </c>
      <c r="D20" s="53">
        <v>77</v>
      </c>
      <c r="E20" s="53">
        <v>108</v>
      </c>
      <c r="F20" s="53">
        <v>138</v>
      </c>
      <c r="G20" s="53">
        <v>169</v>
      </c>
      <c r="H20" s="53">
        <v>199</v>
      </c>
      <c r="I20" s="53">
        <v>230</v>
      </c>
      <c r="J20" s="53">
        <v>261</v>
      </c>
      <c r="K20" s="53">
        <v>291</v>
      </c>
      <c r="L20" s="53">
        <v>322</v>
      </c>
      <c r="M20" s="53">
        <v>352</v>
      </c>
      <c r="N20"/>
    </row>
    <row r="21" spans="1:14" x14ac:dyDescent="0.2">
      <c r="A21" s="52">
        <v>19</v>
      </c>
      <c r="B21" s="53">
        <v>19</v>
      </c>
      <c r="C21" s="53">
        <v>50</v>
      </c>
      <c r="D21" s="53">
        <v>78</v>
      </c>
      <c r="E21" s="53">
        <v>109</v>
      </c>
      <c r="F21" s="53">
        <v>139</v>
      </c>
      <c r="G21" s="53">
        <v>170</v>
      </c>
      <c r="H21" s="53">
        <v>200</v>
      </c>
      <c r="I21" s="53">
        <v>231</v>
      </c>
      <c r="J21" s="53">
        <v>262</v>
      </c>
      <c r="K21" s="53">
        <v>292</v>
      </c>
      <c r="L21" s="53">
        <v>323</v>
      </c>
      <c r="M21" s="53">
        <v>353</v>
      </c>
      <c r="N21"/>
    </row>
    <row r="22" spans="1:14" x14ac:dyDescent="0.2">
      <c r="A22" s="52">
        <v>20</v>
      </c>
      <c r="B22" s="53">
        <v>20</v>
      </c>
      <c r="C22" s="53">
        <v>51</v>
      </c>
      <c r="D22" s="53">
        <v>79</v>
      </c>
      <c r="E22" s="53">
        <v>110</v>
      </c>
      <c r="F22" s="53">
        <v>140</v>
      </c>
      <c r="G22" s="53">
        <v>171</v>
      </c>
      <c r="H22" s="53">
        <v>201</v>
      </c>
      <c r="I22" s="53">
        <v>232</v>
      </c>
      <c r="J22" s="53">
        <v>263</v>
      </c>
      <c r="K22" s="53">
        <v>293</v>
      </c>
      <c r="L22" s="53">
        <v>324</v>
      </c>
      <c r="M22" s="53">
        <v>354</v>
      </c>
      <c r="N22"/>
    </row>
    <row r="23" spans="1:14" x14ac:dyDescent="0.2">
      <c r="A23" s="52">
        <v>21</v>
      </c>
      <c r="B23" s="53">
        <v>21</v>
      </c>
      <c r="C23" s="53">
        <v>52</v>
      </c>
      <c r="D23" s="53">
        <v>80</v>
      </c>
      <c r="E23" s="53">
        <v>111</v>
      </c>
      <c r="F23" s="53">
        <v>141</v>
      </c>
      <c r="G23" s="53">
        <v>172</v>
      </c>
      <c r="H23" s="53">
        <v>202</v>
      </c>
      <c r="I23" s="53">
        <v>233</v>
      </c>
      <c r="J23" s="53">
        <v>264</v>
      </c>
      <c r="K23" s="53">
        <v>294</v>
      </c>
      <c r="L23" s="53">
        <v>325</v>
      </c>
      <c r="M23" s="53">
        <v>355</v>
      </c>
      <c r="N23"/>
    </row>
    <row r="24" spans="1:14" x14ac:dyDescent="0.2">
      <c r="A24" s="52">
        <v>22</v>
      </c>
      <c r="B24" s="53">
        <v>22</v>
      </c>
      <c r="C24" s="53">
        <v>53</v>
      </c>
      <c r="D24" s="53">
        <v>81</v>
      </c>
      <c r="E24" s="53">
        <v>112</v>
      </c>
      <c r="F24" s="53">
        <v>142</v>
      </c>
      <c r="G24" s="53">
        <v>173</v>
      </c>
      <c r="H24" s="53">
        <v>203</v>
      </c>
      <c r="I24" s="53">
        <v>234</v>
      </c>
      <c r="J24" s="53">
        <v>265</v>
      </c>
      <c r="K24" s="53">
        <v>295</v>
      </c>
      <c r="L24" s="53">
        <v>326</v>
      </c>
      <c r="M24" s="53">
        <v>356</v>
      </c>
      <c r="N24"/>
    </row>
    <row r="25" spans="1:14" x14ac:dyDescent="0.2">
      <c r="A25" s="52">
        <v>23</v>
      </c>
      <c r="B25" s="53">
        <v>23</v>
      </c>
      <c r="C25" s="53">
        <v>54</v>
      </c>
      <c r="D25" s="53">
        <v>82</v>
      </c>
      <c r="E25" s="53">
        <v>113</v>
      </c>
      <c r="F25" s="53">
        <v>143</v>
      </c>
      <c r="G25" s="53">
        <v>174</v>
      </c>
      <c r="H25" s="53">
        <v>204</v>
      </c>
      <c r="I25" s="53">
        <v>235</v>
      </c>
      <c r="J25" s="53">
        <v>266</v>
      </c>
      <c r="K25" s="53">
        <v>296</v>
      </c>
      <c r="L25" s="53">
        <v>327</v>
      </c>
      <c r="M25" s="53">
        <v>357</v>
      </c>
      <c r="N25"/>
    </row>
    <row r="26" spans="1:14" x14ac:dyDescent="0.2">
      <c r="A26" s="52">
        <v>24</v>
      </c>
      <c r="B26" s="53">
        <v>24</v>
      </c>
      <c r="C26" s="53">
        <v>55</v>
      </c>
      <c r="D26" s="53">
        <v>83</v>
      </c>
      <c r="E26" s="53">
        <v>114</v>
      </c>
      <c r="F26" s="53">
        <v>144</v>
      </c>
      <c r="G26" s="53">
        <v>175</v>
      </c>
      <c r="H26" s="53">
        <v>205</v>
      </c>
      <c r="I26" s="53">
        <v>236</v>
      </c>
      <c r="J26" s="53">
        <v>267</v>
      </c>
      <c r="K26" s="53">
        <v>297</v>
      </c>
      <c r="L26" s="53">
        <v>328</v>
      </c>
      <c r="M26" s="53">
        <v>358</v>
      </c>
      <c r="N26"/>
    </row>
    <row r="27" spans="1:14" x14ac:dyDescent="0.2">
      <c r="A27" s="52">
        <v>25</v>
      </c>
      <c r="B27" s="53">
        <v>25</v>
      </c>
      <c r="C27" s="53">
        <v>56</v>
      </c>
      <c r="D27" s="53">
        <v>84</v>
      </c>
      <c r="E27" s="53">
        <v>115</v>
      </c>
      <c r="F27" s="53">
        <v>145</v>
      </c>
      <c r="G27" s="53">
        <v>176</v>
      </c>
      <c r="H27" s="53">
        <v>206</v>
      </c>
      <c r="I27" s="53">
        <v>237</v>
      </c>
      <c r="J27" s="53">
        <v>268</v>
      </c>
      <c r="K27" s="53">
        <v>298</v>
      </c>
      <c r="L27" s="53">
        <v>329</v>
      </c>
      <c r="M27" s="53">
        <v>359</v>
      </c>
      <c r="N27"/>
    </row>
    <row r="28" spans="1:14" x14ac:dyDescent="0.2">
      <c r="A28" s="52">
        <v>26</v>
      </c>
      <c r="B28" s="53">
        <v>26</v>
      </c>
      <c r="C28" s="53">
        <v>57</v>
      </c>
      <c r="D28" s="53">
        <v>85</v>
      </c>
      <c r="E28" s="53">
        <v>116</v>
      </c>
      <c r="F28" s="53">
        <v>146</v>
      </c>
      <c r="G28" s="53">
        <v>177</v>
      </c>
      <c r="H28" s="53">
        <v>207</v>
      </c>
      <c r="I28" s="53">
        <v>238</v>
      </c>
      <c r="J28" s="53">
        <v>269</v>
      </c>
      <c r="K28" s="53">
        <v>299</v>
      </c>
      <c r="L28" s="53">
        <v>330</v>
      </c>
      <c r="M28" s="53">
        <v>360</v>
      </c>
      <c r="N28"/>
    </row>
    <row r="29" spans="1:14" x14ac:dyDescent="0.2">
      <c r="A29" s="52">
        <v>27</v>
      </c>
      <c r="B29" s="53">
        <v>27</v>
      </c>
      <c r="C29" s="53">
        <v>58</v>
      </c>
      <c r="D29" s="53">
        <v>86</v>
      </c>
      <c r="E29" s="53">
        <v>117</v>
      </c>
      <c r="F29" s="53">
        <v>147</v>
      </c>
      <c r="G29" s="53">
        <v>178</v>
      </c>
      <c r="H29" s="53">
        <v>208</v>
      </c>
      <c r="I29" s="53">
        <v>239</v>
      </c>
      <c r="J29" s="53">
        <v>270</v>
      </c>
      <c r="K29" s="53">
        <v>300</v>
      </c>
      <c r="L29" s="53">
        <v>331</v>
      </c>
      <c r="M29" s="53">
        <v>361</v>
      </c>
      <c r="N29"/>
    </row>
    <row r="30" spans="1:14" x14ac:dyDescent="0.2">
      <c r="A30" s="52">
        <v>28</v>
      </c>
      <c r="B30" s="53">
        <v>28</v>
      </c>
      <c r="C30" s="53">
        <v>59</v>
      </c>
      <c r="D30" s="53">
        <v>87</v>
      </c>
      <c r="E30" s="53">
        <v>118</v>
      </c>
      <c r="F30" s="53">
        <v>148</v>
      </c>
      <c r="G30" s="53">
        <v>179</v>
      </c>
      <c r="H30" s="53">
        <v>209</v>
      </c>
      <c r="I30" s="53">
        <v>240</v>
      </c>
      <c r="J30" s="53">
        <v>271</v>
      </c>
      <c r="K30" s="53">
        <v>301</v>
      </c>
      <c r="L30" s="53">
        <v>332</v>
      </c>
      <c r="M30" s="53">
        <v>362</v>
      </c>
      <c r="N30"/>
    </row>
    <row r="31" spans="1:14" x14ac:dyDescent="0.2">
      <c r="A31" s="52">
        <v>29</v>
      </c>
      <c r="B31" s="53">
        <v>29</v>
      </c>
      <c r="C31" s="53"/>
      <c r="D31" s="53">
        <v>88</v>
      </c>
      <c r="E31" s="53">
        <v>119</v>
      </c>
      <c r="F31" s="53">
        <v>149</v>
      </c>
      <c r="G31" s="53">
        <v>180</v>
      </c>
      <c r="H31" s="53">
        <v>210</v>
      </c>
      <c r="I31" s="53">
        <v>241</v>
      </c>
      <c r="J31" s="53">
        <v>272</v>
      </c>
      <c r="K31" s="53">
        <v>302</v>
      </c>
      <c r="L31" s="53">
        <v>333</v>
      </c>
      <c r="M31" s="53">
        <v>363</v>
      </c>
      <c r="N31"/>
    </row>
    <row r="32" spans="1:14" x14ac:dyDescent="0.2">
      <c r="A32" s="52">
        <v>30</v>
      </c>
      <c r="B32" s="53">
        <v>30</v>
      </c>
      <c r="C32" s="53"/>
      <c r="D32" s="53">
        <v>89</v>
      </c>
      <c r="E32" s="53">
        <v>120</v>
      </c>
      <c r="F32" s="53">
        <v>150</v>
      </c>
      <c r="G32" s="53">
        <v>181</v>
      </c>
      <c r="H32" s="53">
        <v>211</v>
      </c>
      <c r="I32" s="53">
        <v>242</v>
      </c>
      <c r="J32" s="53">
        <v>273</v>
      </c>
      <c r="K32" s="53">
        <v>303</v>
      </c>
      <c r="L32" s="53">
        <v>334</v>
      </c>
      <c r="M32" s="53">
        <v>364</v>
      </c>
      <c r="N32"/>
    </row>
    <row r="33" spans="1:14" x14ac:dyDescent="0.2">
      <c r="A33" s="56">
        <v>31</v>
      </c>
      <c r="B33" s="57">
        <v>31</v>
      </c>
      <c r="C33" s="57"/>
      <c r="D33" s="57">
        <v>90</v>
      </c>
      <c r="E33" s="57"/>
      <c r="F33" s="57">
        <v>151</v>
      </c>
      <c r="G33" s="57"/>
      <c r="H33" s="57">
        <v>212</v>
      </c>
      <c r="I33" s="57">
        <v>243</v>
      </c>
      <c r="J33" s="57"/>
      <c r="K33" s="57">
        <v>304</v>
      </c>
      <c r="L33" s="57"/>
      <c r="M33" s="57">
        <v>365</v>
      </c>
      <c r="N33"/>
    </row>
    <row r="34" spans="1:14" x14ac:dyDescent="0.2"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/>
    </row>
    <row r="35" spans="1:14" x14ac:dyDescent="0.2">
      <c r="A35" t="s">
        <v>525</v>
      </c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</row>
    <row r="36" spans="1:14" x14ac:dyDescent="0.2">
      <c r="A36" s="54"/>
      <c r="B36" s="59" t="s">
        <v>513</v>
      </c>
      <c r="C36" s="59" t="s">
        <v>514</v>
      </c>
      <c r="D36" s="59" t="s">
        <v>515</v>
      </c>
      <c r="E36" s="59" t="s">
        <v>516</v>
      </c>
      <c r="F36" s="59" t="s">
        <v>517</v>
      </c>
      <c r="G36" s="59" t="s">
        <v>518</v>
      </c>
      <c r="H36" s="59" t="s">
        <v>519</v>
      </c>
      <c r="I36" s="59" t="s">
        <v>520</v>
      </c>
      <c r="J36" s="59" t="s">
        <v>521</v>
      </c>
      <c r="K36" s="59" t="s">
        <v>522</v>
      </c>
      <c r="L36" s="59" t="s">
        <v>523</v>
      </c>
      <c r="M36" s="59" t="s">
        <v>524</v>
      </c>
    </row>
    <row r="37" spans="1:14" x14ac:dyDescent="0.2">
      <c r="A37" s="58">
        <v>1</v>
      </c>
      <c r="B37" s="60">
        <v>1</v>
      </c>
      <c r="C37" s="3">
        <v>32</v>
      </c>
      <c r="D37" s="3">
        <v>61</v>
      </c>
      <c r="E37" s="3">
        <v>92</v>
      </c>
      <c r="F37" s="3">
        <v>122</v>
      </c>
      <c r="G37" s="3">
        <v>153</v>
      </c>
      <c r="H37" s="3">
        <v>183</v>
      </c>
      <c r="I37" s="3">
        <v>214</v>
      </c>
      <c r="J37" s="3">
        <v>245</v>
      </c>
      <c r="K37" s="3">
        <v>275</v>
      </c>
      <c r="L37" s="3">
        <v>306</v>
      </c>
      <c r="M37" s="3">
        <v>336</v>
      </c>
    </row>
    <row r="38" spans="1:14" x14ac:dyDescent="0.2">
      <c r="A38" s="58">
        <v>2</v>
      </c>
      <c r="B38" s="60">
        <v>2</v>
      </c>
      <c r="C38" s="3">
        <v>33</v>
      </c>
      <c r="D38" s="3">
        <v>62</v>
      </c>
      <c r="E38" s="3">
        <v>93</v>
      </c>
      <c r="F38" s="3">
        <v>123</v>
      </c>
      <c r="G38" s="3">
        <v>154</v>
      </c>
      <c r="H38" s="3">
        <v>184</v>
      </c>
      <c r="I38" s="3">
        <v>215</v>
      </c>
      <c r="J38" s="3">
        <v>246</v>
      </c>
      <c r="K38" s="3">
        <v>276</v>
      </c>
      <c r="L38" s="3">
        <v>307</v>
      </c>
      <c r="M38" s="3">
        <v>337</v>
      </c>
    </row>
    <row r="39" spans="1:14" x14ac:dyDescent="0.2">
      <c r="A39" s="58">
        <v>3</v>
      </c>
      <c r="B39" s="60">
        <v>3</v>
      </c>
      <c r="C39" s="3">
        <v>34</v>
      </c>
      <c r="D39" s="3">
        <v>63</v>
      </c>
      <c r="E39" s="3">
        <v>94</v>
      </c>
      <c r="F39" s="3">
        <v>124</v>
      </c>
      <c r="G39" s="3">
        <v>155</v>
      </c>
      <c r="H39" s="3">
        <v>185</v>
      </c>
      <c r="I39" s="3">
        <v>216</v>
      </c>
      <c r="J39" s="3">
        <v>247</v>
      </c>
      <c r="K39" s="3">
        <v>277</v>
      </c>
      <c r="L39" s="3">
        <v>308</v>
      </c>
      <c r="M39" s="3">
        <v>338</v>
      </c>
    </row>
    <row r="40" spans="1:14" x14ac:dyDescent="0.2">
      <c r="A40" s="58">
        <v>4</v>
      </c>
      <c r="B40" s="60">
        <v>4</v>
      </c>
      <c r="C40" s="3">
        <v>35</v>
      </c>
      <c r="D40" s="3">
        <v>64</v>
      </c>
      <c r="E40" s="3">
        <v>95</v>
      </c>
      <c r="F40" s="3">
        <v>125</v>
      </c>
      <c r="G40" s="3">
        <v>156</v>
      </c>
      <c r="H40" s="3">
        <v>186</v>
      </c>
      <c r="I40" s="3">
        <v>217</v>
      </c>
      <c r="J40" s="3">
        <v>248</v>
      </c>
      <c r="K40" s="3">
        <v>278</v>
      </c>
      <c r="L40" s="3">
        <v>309</v>
      </c>
      <c r="M40" s="3">
        <v>339</v>
      </c>
    </row>
    <row r="41" spans="1:14" x14ac:dyDescent="0.2">
      <c r="A41" s="58">
        <v>5</v>
      </c>
      <c r="B41" s="60">
        <v>5</v>
      </c>
      <c r="C41" s="3">
        <v>36</v>
      </c>
      <c r="D41" s="3">
        <v>65</v>
      </c>
      <c r="E41" s="3">
        <v>96</v>
      </c>
      <c r="F41" s="3">
        <v>126</v>
      </c>
      <c r="G41" s="3">
        <v>157</v>
      </c>
      <c r="H41" s="3">
        <v>187</v>
      </c>
      <c r="I41" s="3">
        <v>218</v>
      </c>
      <c r="J41" s="3">
        <v>249</v>
      </c>
      <c r="K41" s="3">
        <v>279</v>
      </c>
      <c r="L41" s="3">
        <v>310</v>
      </c>
      <c r="M41" s="3">
        <v>340</v>
      </c>
    </row>
    <row r="42" spans="1:14" x14ac:dyDescent="0.2">
      <c r="A42" s="58">
        <v>6</v>
      </c>
      <c r="B42" s="60">
        <v>6</v>
      </c>
      <c r="C42" s="3">
        <v>37</v>
      </c>
      <c r="D42" s="3">
        <v>66</v>
      </c>
      <c r="E42" s="3">
        <v>97</v>
      </c>
      <c r="F42" s="3">
        <v>127</v>
      </c>
      <c r="G42" s="3">
        <v>158</v>
      </c>
      <c r="H42" s="3">
        <v>188</v>
      </c>
      <c r="I42" s="3">
        <v>219</v>
      </c>
      <c r="J42" s="3">
        <v>250</v>
      </c>
      <c r="K42" s="3">
        <v>280</v>
      </c>
      <c r="L42" s="3">
        <v>311</v>
      </c>
      <c r="M42" s="3">
        <v>341</v>
      </c>
    </row>
    <row r="43" spans="1:14" x14ac:dyDescent="0.2">
      <c r="A43" s="58">
        <v>7</v>
      </c>
      <c r="B43" s="60">
        <v>7</v>
      </c>
      <c r="C43" s="3">
        <v>38</v>
      </c>
      <c r="D43" s="3">
        <v>67</v>
      </c>
      <c r="E43" s="3">
        <v>98</v>
      </c>
      <c r="F43" s="3">
        <v>128</v>
      </c>
      <c r="G43" s="3">
        <v>159</v>
      </c>
      <c r="H43" s="3">
        <v>189</v>
      </c>
      <c r="I43" s="3">
        <v>220</v>
      </c>
      <c r="J43" s="3">
        <v>251</v>
      </c>
      <c r="K43" s="3">
        <v>281</v>
      </c>
      <c r="L43" s="3">
        <v>312</v>
      </c>
      <c r="M43" s="3">
        <v>342</v>
      </c>
    </row>
    <row r="44" spans="1:14" x14ac:dyDescent="0.2">
      <c r="A44" s="58">
        <v>8</v>
      </c>
      <c r="B44" s="60">
        <v>8</v>
      </c>
      <c r="C44" s="3">
        <v>39</v>
      </c>
      <c r="D44" s="3">
        <v>68</v>
      </c>
      <c r="E44" s="3">
        <v>99</v>
      </c>
      <c r="F44" s="3">
        <v>129</v>
      </c>
      <c r="G44" s="3">
        <v>160</v>
      </c>
      <c r="H44" s="3">
        <v>190</v>
      </c>
      <c r="I44" s="3">
        <v>221</v>
      </c>
      <c r="J44" s="3">
        <v>252</v>
      </c>
      <c r="K44" s="3">
        <v>282</v>
      </c>
      <c r="L44" s="3">
        <v>313</v>
      </c>
      <c r="M44" s="3">
        <v>343</v>
      </c>
    </row>
    <row r="45" spans="1:14" x14ac:dyDescent="0.2">
      <c r="A45" s="58">
        <v>9</v>
      </c>
      <c r="B45" s="60">
        <v>9</v>
      </c>
      <c r="C45" s="3">
        <v>40</v>
      </c>
      <c r="D45" s="3">
        <v>69</v>
      </c>
      <c r="E45" s="3">
        <v>100</v>
      </c>
      <c r="F45" s="3">
        <v>130</v>
      </c>
      <c r="G45" s="3">
        <v>161</v>
      </c>
      <c r="H45" s="3">
        <v>191</v>
      </c>
      <c r="I45" s="3">
        <v>222</v>
      </c>
      <c r="J45" s="3">
        <v>253</v>
      </c>
      <c r="K45" s="3">
        <v>283</v>
      </c>
      <c r="L45" s="3">
        <v>314</v>
      </c>
      <c r="M45" s="3">
        <v>344</v>
      </c>
    </row>
    <row r="46" spans="1:14" x14ac:dyDescent="0.2">
      <c r="A46" s="58">
        <v>10</v>
      </c>
      <c r="B46" s="60">
        <v>10</v>
      </c>
      <c r="C46" s="3">
        <v>41</v>
      </c>
      <c r="D46" s="3">
        <v>70</v>
      </c>
      <c r="E46" s="3">
        <v>101</v>
      </c>
      <c r="F46" s="3">
        <v>131</v>
      </c>
      <c r="G46" s="3">
        <v>162</v>
      </c>
      <c r="H46" s="3">
        <v>192</v>
      </c>
      <c r="I46" s="3">
        <v>223</v>
      </c>
      <c r="J46" s="3">
        <v>254</v>
      </c>
      <c r="K46" s="3">
        <v>284</v>
      </c>
      <c r="L46" s="3">
        <v>315</v>
      </c>
      <c r="M46" s="3">
        <v>345</v>
      </c>
    </row>
    <row r="47" spans="1:14" x14ac:dyDescent="0.2">
      <c r="A47" s="58">
        <v>11</v>
      </c>
      <c r="B47" s="60">
        <v>11</v>
      </c>
      <c r="C47" s="3">
        <v>42</v>
      </c>
      <c r="D47" s="3">
        <v>71</v>
      </c>
      <c r="E47" s="3">
        <v>102</v>
      </c>
      <c r="F47" s="3">
        <v>132</v>
      </c>
      <c r="G47" s="3">
        <v>163</v>
      </c>
      <c r="H47" s="3">
        <v>193</v>
      </c>
      <c r="I47" s="3">
        <v>224</v>
      </c>
      <c r="J47" s="3">
        <v>255</v>
      </c>
      <c r="K47" s="3">
        <v>285</v>
      </c>
      <c r="L47" s="3">
        <v>316</v>
      </c>
      <c r="M47" s="3">
        <v>346</v>
      </c>
    </row>
    <row r="48" spans="1:14" x14ac:dyDescent="0.2">
      <c r="A48" s="58">
        <v>12</v>
      </c>
      <c r="B48" s="60">
        <v>12</v>
      </c>
      <c r="C48" s="3">
        <v>43</v>
      </c>
      <c r="D48" s="3">
        <v>72</v>
      </c>
      <c r="E48" s="3">
        <v>103</v>
      </c>
      <c r="F48" s="3">
        <v>133</v>
      </c>
      <c r="G48" s="3">
        <v>164</v>
      </c>
      <c r="H48" s="3">
        <v>194</v>
      </c>
      <c r="I48" s="3">
        <v>225</v>
      </c>
      <c r="J48" s="3">
        <v>256</v>
      </c>
      <c r="K48" s="3">
        <v>286</v>
      </c>
      <c r="L48" s="3">
        <v>317</v>
      </c>
      <c r="M48" s="3">
        <v>347</v>
      </c>
    </row>
    <row r="49" spans="1:13" x14ac:dyDescent="0.2">
      <c r="A49" s="58">
        <v>13</v>
      </c>
      <c r="B49" s="60">
        <v>13</v>
      </c>
      <c r="C49" s="3">
        <v>44</v>
      </c>
      <c r="D49" s="3">
        <v>73</v>
      </c>
      <c r="E49" s="3">
        <v>104</v>
      </c>
      <c r="F49" s="3">
        <v>134</v>
      </c>
      <c r="G49" s="3">
        <v>165</v>
      </c>
      <c r="H49" s="3">
        <v>195</v>
      </c>
      <c r="I49" s="3">
        <v>226</v>
      </c>
      <c r="J49" s="3">
        <v>257</v>
      </c>
      <c r="K49" s="3">
        <v>287</v>
      </c>
      <c r="L49" s="3">
        <v>318</v>
      </c>
      <c r="M49" s="3">
        <v>348</v>
      </c>
    </row>
    <row r="50" spans="1:13" x14ac:dyDescent="0.2">
      <c r="A50" s="58">
        <v>14</v>
      </c>
      <c r="B50" s="60">
        <v>14</v>
      </c>
      <c r="C50" s="3">
        <v>45</v>
      </c>
      <c r="D50" s="3">
        <v>74</v>
      </c>
      <c r="E50" s="3">
        <v>105</v>
      </c>
      <c r="F50" s="3">
        <v>135</v>
      </c>
      <c r="G50" s="3">
        <v>166</v>
      </c>
      <c r="H50" s="3">
        <v>196</v>
      </c>
      <c r="I50" s="3">
        <v>227</v>
      </c>
      <c r="J50" s="3">
        <v>258</v>
      </c>
      <c r="K50" s="3">
        <v>288</v>
      </c>
      <c r="L50" s="3">
        <v>319</v>
      </c>
      <c r="M50" s="3">
        <v>349</v>
      </c>
    </row>
    <row r="51" spans="1:13" x14ac:dyDescent="0.2">
      <c r="A51" s="58">
        <v>15</v>
      </c>
      <c r="B51" s="60">
        <v>15</v>
      </c>
      <c r="C51" s="3">
        <v>46</v>
      </c>
      <c r="D51" s="3">
        <v>75</v>
      </c>
      <c r="E51" s="3">
        <v>106</v>
      </c>
      <c r="F51" s="3">
        <v>136</v>
      </c>
      <c r="G51" s="3">
        <v>167</v>
      </c>
      <c r="H51" s="3">
        <v>197</v>
      </c>
      <c r="I51" s="3">
        <v>228</v>
      </c>
      <c r="J51" s="3">
        <v>259</v>
      </c>
      <c r="K51" s="3">
        <v>289</v>
      </c>
      <c r="L51" s="3">
        <v>320</v>
      </c>
      <c r="M51" s="3">
        <v>350</v>
      </c>
    </row>
    <row r="52" spans="1:13" x14ac:dyDescent="0.2">
      <c r="A52" s="58">
        <v>16</v>
      </c>
      <c r="B52" s="60">
        <v>16</v>
      </c>
      <c r="C52" s="3">
        <v>47</v>
      </c>
      <c r="D52" s="3">
        <v>76</v>
      </c>
      <c r="E52" s="3">
        <v>107</v>
      </c>
      <c r="F52" s="3">
        <v>137</v>
      </c>
      <c r="G52" s="3">
        <v>168</v>
      </c>
      <c r="H52" s="3">
        <v>198</v>
      </c>
      <c r="I52" s="3">
        <v>229</v>
      </c>
      <c r="J52" s="3">
        <v>260</v>
      </c>
      <c r="K52" s="3">
        <v>290</v>
      </c>
      <c r="L52" s="3">
        <v>321</v>
      </c>
      <c r="M52" s="3">
        <v>351</v>
      </c>
    </row>
    <row r="53" spans="1:13" x14ac:dyDescent="0.2">
      <c r="A53" s="58">
        <v>17</v>
      </c>
      <c r="B53" s="60">
        <v>17</v>
      </c>
      <c r="C53" s="3">
        <v>48</v>
      </c>
      <c r="D53" s="3">
        <v>77</v>
      </c>
      <c r="E53" s="3">
        <v>108</v>
      </c>
      <c r="F53" s="3">
        <v>138</v>
      </c>
      <c r="G53" s="3">
        <v>169</v>
      </c>
      <c r="H53" s="3">
        <v>199</v>
      </c>
      <c r="I53" s="3">
        <v>230</v>
      </c>
      <c r="J53" s="3">
        <v>261</v>
      </c>
      <c r="K53" s="3">
        <v>291</v>
      </c>
      <c r="L53" s="3">
        <v>322</v>
      </c>
      <c r="M53" s="3">
        <v>352</v>
      </c>
    </row>
    <row r="54" spans="1:13" x14ac:dyDescent="0.2">
      <c r="A54" s="58">
        <v>18</v>
      </c>
      <c r="B54" s="60">
        <v>18</v>
      </c>
      <c r="C54" s="3">
        <v>49</v>
      </c>
      <c r="D54" s="3">
        <v>78</v>
      </c>
      <c r="E54" s="3">
        <v>109</v>
      </c>
      <c r="F54" s="3">
        <v>139</v>
      </c>
      <c r="G54" s="3">
        <v>170</v>
      </c>
      <c r="H54" s="3">
        <v>200</v>
      </c>
      <c r="I54" s="3">
        <v>231</v>
      </c>
      <c r="J54" s="3">
        <v>262</v>
      </c>
      <c r="K54" s="3">
        <v>292</v>
      </c>
      <c r="L54" s="3">
        <v>323</v>
      </c>
      <c r="M54" s="3">
        <v>353</v>
      </c>
    </row>
    <row r="55" spans="1:13" x14ac:dyDescent="0.2">
      <c r="A55" s="58">
        <v>19</v>
      </c>
      <c r="B55" s="60">
        <v>19</v>
      </c>
      <c r="C55" s="3">
        <v>50</v>
      </c>
      <c r="D55" s="3">
        <v>79</v>
      </c>
      <c r="E55" s="3">
        <v>110</v>
      </c>
      <c r="F55" s="3">
        <v>140</v>
      </c>
      <c r="G55" s="3">
        <v>171</v>
      </c>
      <c r="H55" s="3">
        <v>201</v>
      </c>
      <c r="I55" s="3">
        <v>232</v>
      </c>
      <c r="J55" s="3">
        <v>263</v>
      </c>
      <c r="K55" s="3">
        <v>293</v>
      </c>
      <c r="L55" s="3">
        <v>324</v>
      </c>
      <c r="M55" s="3">
        <v>354</v>
      </c>
    </row>
    <row r="56" spans="1:13" x14ac:dyDescent="0.2">
      <c r="A56" s="58">
        <v>20</v>
      </c>
      <c r="B56" s="60">
        <v>20</v>
      </c>
      <c r="C56" s="3">
        <v>51</v>
      </c>
      <c r="D56" s="3">
        <v>80</v>
      </c>
      <c r="E56" s="3">
        <v>111</v>
      </c>
      <c r="F56" s="3">
        <v>141</v>
      </c>
      <c r="G56" s="3">
        <v>172</v>
      </c>
      <c r="H56" s="3">
        <v>202</v>
      </c>
      <c r="I56" s="3">
        <v>233</v>
      </c>
      <c r="J56" s="3">
        <v>264</v>
      </c>
      <c r="K56" s="3">
        <v>294</v>
      </c>
      <c r="L56" s="3">
        <v>325</v>
      </c>
      <c r="M56" s="3">
        <v>355</v>
      </c>
    </row>
    <row r="57" spans="1:13" x14ac:dyDescent="0.2">
      <c r="A57" s="58">
        <v>21</v>
      </c>
      <c r="B57" s="60">
        <v>21</v>
      </c>
      <c r="C57" s="3">
        <v>52</v>
      </c>
      <c r="D57" s="3">
        <v>81</v>
      </c>
      <c r="E57" s="3">
        <v>112</v>
      </c>
      <c r="F57" s="3">
        <v>142</v>
      </c>
      <c r="G57" s="3">
        <v>173</v>
      </c>
      <c r="H57" s="3">
        <v>203</v>
      </c>
      <c r="I57" s="3">
        <v>234</v>
      </c>
      <c r="J57" s="3">
        <v>265</v>
      </c>
      <c r="K57" s="3">
        <v>295</v>
      </c>
      <c r="L57" s="3">
        <v>326</v>
      </c>
      <c r="M57" s="3">
        <v>356</v>
      </c>
    </row>
    <row r="58" spans="1:13" x14ac:dyDescent="0.2">
      <c r="A58" s="58">
        <v>22</v>
      </c>
      <c r="B58" s="60">
        <v>22</v>
      </c>
      <c r="C58" s="3">
        <v>53</v>
      </c>
      <c r="D58" s="3">
        <v>82</v>
      </c>
      <c r="E58" s="3">
        <v>113</v>
      </c>
      <c r="F58" s="3">
        <v>143</v>
      </c>
      <c r="G58" s="3">
        <v>174</v>
      </c>
      <c r="H58" s="3">
        <v>204</v>
      </c>
      <c r="I58" s="3">
        <v>235</v>
      </c>
      <c r="J58" s="3">
        <v>266</v>
      </c>
      <c r="K58" s="3">
        <v>296</v>
      </c>
      <c r="L58" s="3">
        <v>327</v>
      </c>
      <c r="M58" s="3">
        <v>357</v>
      </c>
    </row>
    <row r="59" spans="1:13" x14ac:dyDescent="0.2">
      <c r="A59" s="58">
        <v>23</v>
      </c>
      <c r="B59" s="60">
        <v>23</v>
      </c>
      <c r="C59" s="3">
        <v>54</v>
      </c>
      <c r="D59" s="3">
        <v>83</v>
      </c>
      <c r="E59" s="3">
        <v>114</v>
      </c>
      <c r="F59" s="3">
        <v>144</v>
      </c>
      <c r="G59" s="3">
        <v>175</v>
      </c>
      <c r="H59" s="3">
        <v>205</v>
      </c>
      <c r="I59" s="3">
        <v>236</v>
      </c>
      <c r="J59" s="3">
        <v>267</v>
      </c>
      <c r="K59" s="3">
        <v>297</v>
      </c>
      <c r="L59" s="3">
        <v>328</v>
      </c>
      <c r="M59" s="3">
        <v>358</v>
      </c>
    </row>
    <row r="60" spans="1:13" x14ac:dyDescent="0.2">
      <c r="A60" s="58">
        <v>24</v>
      </c>
      <c r="B60" s="60">
        <v>24</v>
      </c>
      <c r="C60" s="3">
        <v>55</v>
      </c>
      <c r="D60" s="3">
        <v>84</v>
      </c>
      <c r="E60" s="3">
        <v>115</v>
      </c>
      <c r="F60" s="3">
        <v>145</v>
      </c>
      <c r="G60" s="3">
        <v>176</v>
      </c>
      <c r="H60" s="3">
        <v>206</v>
      </c>
      <c r="I60" s="3">
        <v>237</v>
      </c>
      <c r="J60" s="3">
        <v>268</v>
      </c>
      <c r="K60" s="3">
        <v>298</v>
      </c>
      <c r="L60" s="3">
        <v>329</v>
      </c>
      <c r="M60" s="3">
        <v>359</v>
      </c>
    </row>
    <row r="61" spans="1:13" x14ac:dyDescent="0.2">
      <c r="A61" s="58">
        <v>25</v>
      </c>
      <c r="B61" s="60">
        <v>25</v>
      </c>
      <c r="C61" s="3">
        <v>56</v>
      </c>
      <c r="D61" s="3">
        <v>85</v>
      </c>
      <c r="E61" s="3">
        <v>116</v>
      </c>
      <c r="F61" s="3">
        <v>146</v>
      </c>
      <c r="G61" s="3">
        <v>177</v>
      </c>
      <c r="H61" s="3">
        <v>207</v>
      </c>
      <c r="I61" s="3">
        <v>238</v>
      </c>
      <c r="J61" s="3">
        <v>269</v>
      </c>
      <c r="K61" s="3">
        <v>299</v>
      </c>
      <c r="L61" s="3">
        <v>330</v>
      </c>
      <c r="M61" s="3">
        <v>360</v>
      </c>
    </row>
    <row r="62" spans="1:13" x14ac:dyDescent="0.2">
      <c r="A62" s="58">
        <v>26</v>
      </c>
      <c r="B62" s="60">
        <v>26</v>
      </c>
      <c r="C62" s="3">
        <v>57</v>
      </c>
      <c r="D62" s="3">
        <v>86</v>
      </c>
      <c r="E62" s="3">
        <v>117</v>
      </c>
      <c r="F62" s="3">
        <v>147</v>
      </c>
      <c r="G62" s="3">
        <v>178</v>
      </c>
      <c r="H62" s="3">
        <v>208</v>
      </c>
      <c r="I62" s="3">
        <v>239</v>
      </c>
      <c r="J62" s="3">
        <v>270</v>
      </c>
      <c r="K62" s="3">
        <v>300</v>
      </c>
      <c r="L62" s="3">
        <v>331</v>
      </c>
      <c r="M62" s="3">
        <v>361</v>
      </c>
    </row>
    <row r="63" spans="1:13" x14ac:dyDescent="0.2">
      <c r="A63" s="58">
        <v>27</v>
      </c>
      <c r="B63" s="60">
        <v>27</v>
      </c>
      <c r="C63" s="3">
        <v>58</v>
      </c>
      <c r="D63" s="3">
        <v>87</v>
      </c>
      <c r="E63" s="3">
        <v>118</v>
      </c>
      <c r="F63" s="3">
        <v>148</v>
      </c>
      <c r="G63" s="3">
        <v>179</v>
      </c>
      <c r="H63" s="3">
        <v>209</v>
      </c>
      <c r="I63" s="3">
        <v>240</v>
      </c>
      <c r="J63" s="3">
        <v>271</v>
      </c>
      <c r="K63" s="3">
        <v>301</v>
      </c>
      <c r="L63" s="3">
        <v>332</v>
      </c>
      <c r="M63" s="3">
        <v>362</v>
      </c>
    </row>
    <row r="64" spans="1:13" x14ac:dyDescent="0.2">
      <c r="A64" s="58">
        <v>28</v>
      </c>
      <c r="B64" s="60">
        <v>28</v>
      </c>
      <c r="C64" s="3">
        <v>59</v>
      </c>
      <c r="D64" s="3">
        <v>88</v>
      </c>
      <c r="E64" s="3">
        <v>119</v>
      </c>
      <c r="F64" s="3">
        <v>149</v>
      </c>
      <c r="G64" s="3">
        <v>180</v>
      </c>
      <c r="H64" s="3">
        <v>210</v>
      </c>
      <c r="I64" s="3">
        <v>241</v>
      </c>
      <c r="J64" s="3">
        <v>272</v>
      </c>
      <c r="K64" s="3">
        <v>302</v>
      </c>
      <c r="L64" s="3">
        <v>333</v>
      </c>
      <c r="M64" s="3">
        <v>363</v>
      </c>
    </row>
    <row r="65" spans="1:13" x14ac:dyDescent="0.2">
      <c r="A65" s="58">
        <v>29</v>
      </c>
      <c r="B65" s="60">
        <v>29</v>
      </c>
      <c r="C65" s="3">
        <v>60</v>
      </c>
      <c r="D65" s="3">
        <v>89</v>
      </c>
      <c r="E65" s="3">
        <v>120</v>
      </c>
      <c r="F65" s="3">
        <v>150</v>
      </c>
      <c r="G65" s="3">
        <v>181</v>
      </c>
      <c r="H65" s="3">
        <v>211</v>
      </c>
      <c r="I65" s="3">
        <v>242</v>
      </c>
      <c r="J65" s="3">
        <v>273</v>
      </c>
      <c r="K65" s="3">
        <v>303</v>
      </c>
      <c r="L65" s="3">
        <v>334</v>
      </c>
      <c r="M65" s="3">
        <v>364</v>
      </c>
    </row>
    <row r="66" spans="1:13" x14ac:dyDescent="0.2">
      <c r="A66" s="58">
        <v>30</v>
      </c>
      <c r="B66" s="60">
        <v>30</v>
      </c>
      <c r="C66" s="3"/>
      <c r="D66" s="3">
        <v>90</v>
      </c>
      <c r="E66" s="3">
        <v>121</v>
      </c>
      <c r="F66" s="3">
        <v>151</v>
      </c>
      <c r="G66" s="3">
        <v>182</v>
      </c>
      <c r="H66" s="3">
        <v>212</v>
      </c>
      <c r="I66" s="3">
        <v>243</v>
      </c>
      <c r="J66" s="3">
        <v>274</v>
      </c>
      <c r="K66" s="3">
        <v>304</v>
      </c>
      <c r="L66" s="3">
        <v>335</v>
      </c>
      <c r="M66" s="3">
        <v>365</v>
      </c>
    </row>
    <row r="67" spans="1:13" x14ac:dyDescent="0.2">
      <c r="A67" s="58">
        <v>31</v>
      </c>
      <c r="B67" s="60">
        <v>31</v>
      </c>
      <c r="C67" s="3"/>
      <c r="D67" s="3">
        <v>91</v>
      </c>
      <c r="E67" s="3"/>
      <c r="F67" s="3">
        <v>152</v>
      </c>
      <c r="G67" s="3"/>
      <c r="H67" s="3">
        <v>213</v>
      </c>
      <c r="I67" s="3">
        <v>244</v>
      </c>
      <c r="J67" s="3"/>
      <c r="K67" s="3">
        <v>305</v>
      </c>
      <c r="L67" s="3"/>
      <c r="M67" s="3">
        <v>366</v>
      </c>
    </row>
  </sheetData>
  <phoneticPr fontId="1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7A94F-063B-4B2B-BA90-6B4154B28B15}">
  <sheetPr codeName="Sheet3"/>
  <dimension ref="A1:G248"/>
  <sheetViews>
    <sheetView zoomScale="85"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12.140625" style="6" customWidth="1"/>
    <col min="2" max="2" width="12.140625" style="8" customWidth="1"/>
    <col min="3" max="3" width="84.7109375" style="6" customWidth="1"/>
    <col min="4" max="16384" width="9.140625" style="6"/>
  </cols>
  <sheetData>
    <row r="1" spans="1:7" s="51" customFormat="1" x14ac:dyDescent="0.2">
      <c r="A1" s="51" t="s">
        <v>120</v>
      </c>
      <c r="B1" s="45" t="s">
        <v>121</v>
      </c>
      <c r="C1" s="51" t="s">
        <v>122</v>
      </c>
    </row>
    <row r="2" spans="1:7" x14ac:dyDescent="0.2">
      <c r="A2" s="6" t="s">
        <v>123</v>
      </c>
      <c r="B2" s="8" t="s">
        <v>40</v>
      </c>
      <c r="C2" s="6" t="s">
        <v>124</v>
      </c>
    </row>
    <row r="3" spans="1:7" x14ac:dyDescent="0.2">
      <c r="A3" s="6" t="s">
        <v>526</v>
      </c>
      <c r="B3" s="8" t="s">
        <v>40</v>
      </c>
      <c r="C3" s="6" t="s">
        <v>527</v>
      </c>
    </row>
    <row r="4" spans="1:7" x14ac:dyDescent="0.2">
      <c r="A4" s="6" t="s">
        <v>125</v>
      </c>
      <c r="B4" s="8" t="s">
        <v>19</v>
      </c>
      <c r="C4" s="6" t="s">
        <v>126</v>
      </c>
    </row>
    <row r="5" spans="1:7" x14ac:dyDescent="0.2">
      <c r="A5" s="6" t="s">
        <v>127</v>
      </c>
      <c r="B5" s="8" t="s">
        <v>19</v>
      </c>
      <c r="C5" s="6" t="s">
        <v>128</v>
      </c>
    </row>
    <row r="6" spans="1:7" x14ac:dyDescent="0.2">
      <c r="A6" s="6" t="s">
        <v>528</v>
      </c>
      <c r="B6" s="8" t="s">
        <v>528</v>
      </c>
      <c r="C6" s="6" t="s">
        <v>529</v>
      </c>
    </row>
    <row r="7" spans="1:7" x14ac:dyDescent="0.2">
      <c r="A7" s="6" t="s">
        <v>129</v>
      </c>
      <c r="B7" s="8" t="s">
        <v>130</v>
      </c>
      <c r="C7" s="6" t="s">
        <v>131</v>
      </c>
    </row>
    <row r="8" spans="1:7" x14ac:dyDescent="0.2">
      <c r="A8" s="6" t="s">
        <v>530</v>
      </c>
      <c r="B8" s="8" t="s">
        <v>528</v>
      </c>
      <c r="C8" s="6" t="s">
        <v>531</v>
      </c>
    </row>
    <row r="9" spans="1:7" x14ac:dyDescent="0.2">
      <c r="A9" s="6" t="s">
        <v>532</v>
      </c>
      <c r="B9" s="8" t="s">
        <v>528</v>
      </c>
      <c r="C9" s="6" t="s">
        <v>533</v>
      </c>
    </row>
    <row r="10" spans="1:7" x14ac:dyDescent="0.2">
      <c r="A10" s="6" t="s">
        <v>534</v>
      </c>
      <c r="B10" s="8" t="s">
        <v>528</v>
      </c>
      <c r="C10" s="6" t="s">
        <v>535</v>
      </c>
    </row>
    <row r="11" spans="1:7" x14ac:dyDescent="0.2">
      <c r="A11" s="6" t="s">
        <v>536</v>
      </c>
      <c r="B11" s="8" t="s">
        <v>528</v>
      </c>
      <c r="C11" s="6" t="s">
        <v>537</v>
      </c>
    </row>
    <row r="12" spans="1:7" x14ac:dyDescent="0.2">
      <c r="A12" s="6" t="s">
        <v>132</v>
      </c>
      <c r="B12" s="8" t="s">
        <v>53</v>
      </c>
      <c r="C12" s="6" t="s">
        <v>133</v>
      </c>
    </row>
    <row r="13" spans="1:7" x14ac:dyDescent="0.2">
      <c r="A13" s="6" t="s">
        <v>134</v>
      </c>
      <c r="B13" s="8" t="s">
        <v>135</v>
      </c>
      <c r="C13" s="6" t="s">
        <v>136</v>
      </c>
    </row>
    <row r="14" spans="1:7" x14ac:dyDescent="0.2">
      <c r="A14" s="6" t="s">
        <v>137</v>
      </c>
      <c r="B14" s="8" t="s">
        <v>40</v>
      </c>
      <c r="C14" s="6" t="s">
        <v>138</v>
      </c>
      <c r="G14" s="40"/>
    </row>
    <row r="15" spans="1:7" x14ac:dyDescent="0.2">
      <c r="A15" s="6" t="s">
        <v>538</v>
      </c>
      <c r="B15" s="8" t="s">
        <v>528</v>
      </c>
      <c r="C15" s="6" t="s">
        <v>539</v>
      </c>
      <c r="G15" s="40"/>
    </row>
    <row r="16" spans="1:7" x14ac:dyDescent="0.2">
      <c r="A16" s="6" t="s">
        <v>139</v>
      </c>
      <c r="B16" s="8" t="s">
        <v>19</v>
      </c>
      <c r="C16" s="6" t="s">
        <v>140</v>
      </c>
      <c r="G16" s="40"/>
    </row>
    <row r="17" spans="1:7" x14ac:dyDescent="0.2">
      <c r="A17" s="6" t="s">
        <v>540</v>
      </c>
      <c r="B17" s="8" t="s">
        <v>40</v>
      </c>
      <c r="C17" s="6" t="s">
        <v>527</v>
      </c>
      <c r="G17" s="40"/>
    </row>
    <row r="18" spans="1:7" x14ac:dyDescent="0.2">
      <c r="A18" s="6" t="s">
        <v>141</v>
      </c>
      <c r="B18" s="8" t="s">
        <v>19</v>
      </c>
      <c r="C18" s="6" t="s">
        <v>142</v>
      </c>
      <c r="G18" s="40"/>
    </row>
    <row r="19" spans="1:7" x14ac:dyDescent="0.2">
      <c r="A19" s="6" t="s">
        <v>143</v>
      </c>
      <c r="B19" s="8" t="s">
        <v>144</v>
      </c>
      <c r="C19" s="6" t="s">
        <v>145</v>
      </c>
      <c r="G19" s="40"/>
    </row>
    <row r="20" spans="1:7" x14ac:dyDescent="0.2">
      <c r="A20" s="6" t="s">
        <v>146</v>
      </c>
      <c r="B20" s="8" t="s">
        <v>40</v>
      </c>
      <c r="C20" s="6" t="s">
        <v>147</v>
      </c>
    </row>
    <row r="21" spans="1:7" x14ac:dyDescent="0.2">
      <c r="A21" s="6" t="s">
        <v>148</v>
      </c>
      <c r="B21" s="8" t="s">
        <v>149</v>
      </c>
      <c r="C21" s="6" t="s">
        <v>150</v>
      </c>
    </row>
    <row r="22" spans="1:7" x14ac:dyDescent="0.2">
      <c r="A22" s="6" t="s">
        <v>151</v>
      </c>
      <c r="B22" s="8" t="s">
        <v>149</v>
      </c>
      <c r="C22" s="6" t="s">
        <v>152</v>
      </c>
    </row>
    <row r="23" spans="1:7" x14ac:dyDescent="0.2">
      <c r="A23" s="6" t="s">
        <v>153</v>
      </c>
      <c r="B23" s="8" t="s">
        <v>149</v>
      </c>
      <c r="C23" s="6" t="s">
        <v>154</v>
      </c>
    </row>
    <row r="24" spans="1:7" x14ac:dyDescent="0.2">
      <c r="A24" s="6" t="s">
        <v>155</v>
      </c>
      <c r="B24" s="8" t="s">
        <v>149</v>
      </c>
      <c r="C24" s="6" t="s">
        <v>156</v>
      </c>
    </row>
    <row r="25" spans="1:7" x14ac:dyDescent="0.2">
      <c r="A25" s="6" t="s">
        <v>157</v>
      </c>
      <c r="B25" s="8" t="s">
        <v>149</v>
      </c>
      <c r="C25" s="6" t="s">
        <v>158</v>
      </c>
    </row>
    <row r="26" spans="1:7" x14ac:dyDescent="0.2">
      <c r="A26" s="6" t="s">
        <v>159</v>
      </c>
      <c r="B26" s="8" t="s">
        <v>149</v>
      </c>
      <c r="C26" s="6" t="s">
        <v>160</v>
      </c>
    </row>
    <row r="27" spans="1:7" x14ac:dyDescent="0.2">
      <c r="A27" s="6" t="s">
        <v>541</v>
      </c>
      <c r="B27" s="8" t="s">
        <v>542</v>
      </c>
      <c r="C27" s="6" t="s">
        <v>543</v>
      </c>
    </row>
    <row r="28" spans="1:7" x14ac:dyDescent="0.2">
      <c r="A28" s="6" t="s">
        <v>161</v>
      </c>
      <c r="B28" s="8" t="s">
        <v>19</v>
      </c>
      <c r="C28" s="6" t="s">
        <v>162</v>
      </c>
    </row>
    <row r="29" spans="1:7" x14ac:dyDescent="0.2">
      <c r="A29" s="6" t="s">
        <v>163</v>
      </c>
      <c r="B29" s="8" t="s">
        <v>19</v>
      </c>
      <c r="C29" s="6" t="s">
        <v>164</v>
      </c>
    </row>
    <row r="30" spans="1:7" x14ac:dyDescent="0.2">
      <c r="A30" s="6" t="s">
        <v>165</v>
      </c>
      <c r="B30" s="8" t="s">
        <v>19</v>
      </c>
      <c r="C30" s="6" t="s">
        <v>166</v>
      </c>
    </row>
    <row r="31" spans="1:7" x14ac:dyDescent="0.2">
      <c r="A31" s="6" t="s">
        <v>605</v>
      </c>
      <c r="B31" s="8" t="s">
        <v>21</v>
      </c>
      <c r="C31" s="6" t="s">
        <v>606</v>
      </c>
    </row>
    <row r="32" spans="1:7" x14ac:dyDescent="0.2">
      <c r="A32" s="6" t="s">
        <v>544</v>
      </c>
      <c r="B32" s="8" t="s">
        <v>189</v>
      </c>
      <c r="C32" s="6" t="s">
        <v>545</v>
      </c>
    </row>
    <row r="33" spans="1:3" x14ac:dyDescent="0.2">
      <c r="A33" s="6" t="s">
        <v>167</v>
      </c>
      <c r="B33" s="8" t="s">
        <v>40</v>
      </c>
      <c r="C33" s="6" t="s">
        <v>168</v>
      </c>
    </row>
    <row r="34" spans="1:3" x14ac:dyDescent="0.2">
      <c r="A34" s="6" t="s">
        <v>169</v>
      </c>
      <c r="B34" s="8" t="s">
        <v>40</v>
      </c>
      <c r="C34" s="6" t="s">
        <v>170</v>
      </c>
    </row>
    <row r="35" spans="1:3" x14ac:dyDescent="0.2">
      <c r="A35" s="6" t="s">
        <v>171</v>
      </c>
      <c r="B35" s="8" t="s">
        <v>172</v>
      </c>
      <c r="C35" s="6" t="s">
        <v>173</v>
      </c>
    </row>
    <row r="36" spans="1:3" x14ac:dyDescent="0.2">
      <c r="A36" s="6" t="s">
        <v>546</v>
      </c>
      <c r="B36" s="8" t="s">
        <v>40</v>
      </c>
      <c r="C36" s="6" t="s">
        <v>527</v>
      </c>
    </row>
    <row r="37" spans="1:3" x14ac:dyDescent="0.2">
      <c r="A37" s="6" t="s">
        <v>607</v>
      </c>
      <c r="B37" s="8" t="s">
        <v>608</v>
      </c>
      <c r="C37" s="6" t="s">
        <v>609</v>
      </c>
    </row>
    <row r="38" spans="1:3" x14ac:dyDescent="0.2">
      <c r="A38" s="6" t="s">
        <v>174</v>
      </c>
      <c r="B38" s="8" t="s">
        <v>19</v>
      </c>
      <c r="C38" s="6" t="s">
        <v>175</v>
      </c>
    </row>
    <row r="39" spans="1:3" x14ac:dyDescent="0.2">
      <c r="A39" s="6" t="s">
        <v>176</v>
      </c>
      <c r="B39" s="8" t="s">
        <v>19</v>
      </c>
      <c r="C39" s="6" t="s">
        <v>177</v>
      </c>
    </row>
    <row r="40" spans="1:3" x14ac:dyDescent="0.2">
      <c r="A40" s="6" t="s">
        <v>547</v>
      </c>
      <c r="B40" s="8" t="s">
        <v>542</v>
      </c>
      <c r="C40" s="6" t="s">
        <v>548</v>
      </c>
    </row>
    <row r="41" spans="1:3" x14ac:dyDescent="0.2">
      <c r="A41" s="6" t="s">
        <v>28</v>
      </c>
      <c r="B41" s="8" t="s">
        <v>178</v>
      </c>
      <c r="C41" s="6" t="s">
        <v>179</v>
      </c>
    </row>
    <row r="42" spans="1:3" x14ac:dyDescent="0.2">
      <c r="A42" s="6" t="s">
        <v>610</v>
      </c>
      <c r="B42" s="8" t="s">
        <v>255</v>
      </c>
      <c r="C42" s="6" t="s">
        <v>611</v>
      </c>
    </row>
    <row r="43" spans="1:3" x14ac:dyDescent="0.2">
      <c r="A43" s="6" t="s">
        <v>180</v>
      </c>
      <c r="B43" s="8" t="s">
        <v>40</v>
      </c>
      <c r="C43" s="6" t="s">
        <v>181</v>
      </c>
    </row>
    <row r="44" spans="1:3" x14ac:dyDescent="0.2">
      <c r="A44" s="6" t="s">
        <v>182</v>
      </c>
      <c r="B44" s="8" t="s">
        <v>19</v>
      </c>
      <c r="C44" s="6" t="s">
        <v>183</v>
      </c>
    </row>
    <row r="45" spans="1:3" x14ac:dyDescent="0.2">
      <c r="A45" s="6" t="s">
        <v>184</v>
      </c>
      <c r="B45" s="8" t="s">
        <v>19</v>
      </c>
      <c r="C45" s="6" t="s">
        <v>185</v>
      </c>
    </row>
    <row r="46" spans="1:3" x14ac:dyDescent="0.2">
      <c r="A46" s="6" t="s">
        <v>186</v>
      </c>
      <c r="B46" s="8" t="s">
        <v>40</v>
      </c>
      <c r="C46" s="6" t="s">
        <v>187</v>
      </c>
    </row>
    <row r="47" spans="1:3" x14ac:dyDescent="0.2">
      <c r="A47" s="6" t="s">
        <v>549</v>
      </c>
      <c r="B47" s="8" t="s">
        <v>189</v>
      </c>
      <c r="C47" s="6" t="s">
        <v>550</v>
      </c>
    </row>
    <row r="48" spans="1:3" x14ac:dyDescent="0.2">
      <c r="A48" s="6" t="s">
        <v>188</v>
      </c>
      <c r="B48" s="8" t="s">
        <v>189</v>
      </c>
      <c r="C48" s="6" t="s">
        <v>190</v>
      </c>
    </row>
    <row r="49" spans="1:3" x14ac:dyDescent="0.2">
      <c r="A49" s="6" t="s">
        <v>191</v>
      </c>
      <c r="B49" s="8" t="s">
        <v>189</v>
      </c>
      <c r="C49" s="6" t="s">
        <v>192</v>
      </c>
    </row>
    <row r="50" spans="1:3" x14ac:dyDescent="0.2">
      <c r="A50" s="6" t="s">
        <v>193</v>
      </c>
      <c r="B50" s="8" t="s">
        <v>189</v>
      </c>
      <c r="C50" s="6" t="s">
        <v>194</v>
      </c>
    </row>
    <row r="51" spans="1:3" x14ac:dyDescent="0.2">
      <c r="A51" s="6" t="s">
        <v>612</v>
      </c>
      <c r="B51" s="8" t="s">
        <v>21</v>
      </c>
      <c r="C51" s="6" t="s">
        <v>613</v>
      </c>
    </row>
    <row r="52" spans="1:3" x14ac:dyDescent="0.2">
      <c r="A52" s="6" t="s">
        <v>195</v>
      </c>
      <c r="B52" s="8" t="s">
        <v>189</v>
      </c>
      <c r="C52" s="6" t="s">
        <v>196</v>
      </c>
    </row>
    <row r="53" spans="1:3" x14ac:dyDescent="0.2">
      <c r="A53" s="6" t="s">
        <v>551</v>
      </c>
      <c r="B53" s="8" t="s">
        <v>189</v>
      </c>
      <c r="C53" s="6" t="s">
        <v>552</v>
      </c>
    </row>
    <row r="54" spans="1:3" x14ac:dyDescent="0.2">
      <c r="A54" s="6" t="s">
        <v>197</v>
      </c>
      <c r="B54" s="8" t="s">
        <v>189</v>
      </c>
      <c r="C54" s="6" t="s">
        <v>198</v>
      </c>
    </row>
    <row r="55" spans="1:3" x14ac:dyDescent="0.2">
      <c r="A55" s="6" t="s">
        <v>199</v>
      </c>
      <c r="B55" s="8" t="s">
        <v>144</v>
      </c>
      <c r="C55" s="6" t="s">
        <v>200</v>
      </c>
    </row>
    <row r="56" spans="1:3" x14ac:dyDescent="0.2">
      <c r="A56" s="6" t="s">
        <v>201</v>
      </c>
      <c r="B56" s="8" t="s">
        <v>202</v>
      </c>
      <c r="C56" s="6" t="s">
        <v>203</v>
      </c>
    </row>
    <row r="57" spans="1:3" x14ac:dyDescent="0.2">
      <c r="A57" s="6" t="s">
        <v>204</v>
      </c>
      <c r="B57" s="8" t="s">
        <v>205</v>
      </c>
      <c r="C57" s="6" t="s">
        <v>206</v>
      </c>
    </row>
    <row r="58" spans="1:3" x14ac:dyDescent="0.2">
      <c r="A58" s="6" t="s">
        <v>207</v>
      </c>
      <c r="B58" s="8" t="s">
        <v>205</v>
      </c>
      <c r="C58" s="6" t="s">
        <v>208</v>
      </c>
    </row>
    <row r="59" spans="1:3" x14ac:dyDescent="0.2">
      <c r="A59" s="6" t="s">
        <v>209</v>
      </c>
      <c r="B59" s="8" t="s">
        <v>205</v>
      </c>
      <c r="C59" s="6" t="s">
        <v>210</v>
      </c>
    </row>
    <row r="60" spans="1:3" x14ac:dyDescent="0.2">
      <c r="A60" s="6" t="s">
        <v>211</v>
      </c>
      <c r="B60" s="8" t="s">
        <v>135</v>
      </c>
      <c r="C60" s="6" t="s">
        <v>212</v>
      </c>
    </row>
    <row r="61" spans="1:3" x14ac:dyDescent="0.2">
      <c r="A61" s="6" t="s">
        <v>213</v>
      </c>
      <c r="B61" s="8" t="s">
        <v>214</v>
      </c>
      <c r="C61" s="6" t="s">
        <v>215</v>
      </c>
    </row>
    <row r="62" spans="1:3" x14ac:dyDescent="0.2">
      <c r="A62" s="6" t="s">
        <v>216</v>
      </c>
      <c r="B62" s="8" t="s">
        <v>144</v>
      </c>
      <c r="C62" s="6" t="s">
        <v>217</v>
      </c>
    </row>
    <row r="63" spans="1:3" x14ac:dyDescent="0.2">
      <c r="A63" s="6" t="s">
        <v>218</v>
      </c>
      <c r="B63" s="8" t="s">
        <v>65</v>
      </c>
      <c r="C63" s="6" t="s">
        <v>219</v>
      </c>
    </row>
    <row r="64" spans="1:3" x14ac:dyDescent="0.2">
      <c r="A64" s="6" t="s">
        <v>220</v>
      </c>
      <c r="B64" s="8" t="s">
        <v>40</v>
      </c>
      <c r="C64" s="6" t="s">
        <v>221</v>
      </c>
    </row>
    <row r="65" spans="1:3" x14ac:dyDescent="0.2">
      <c r="A65" s="6" t="s">
        <v>222</v>
      </c>
      <c r="B65" s="8" t="s">
        <v>223</v>
      </c>
      <c r="C65" s="6" t="s">
        <v>224</v>
      </c>
    </row>
    <row r="66" spans="1:3" x14ac:dyDescent="0.2">
      <c r="A66" s="6" t="s">
        <v>225</v>
      </c>
      <c r="B66" s="8" t="s">
        <v>223</v>
      </c>
      <c r="C66" s="6" t="s">
        <v>226</v>
      </c>
    </row>
    <row r="67" spans="1:3" x14ac:dyDescent="0.2">
      <c r="A67" s="6" t="s">
        <v>227</v>
      </c>
      <c r="B67" s="8" t="s">
        <v>223</v>
      </c>
      <c r="C67" s="6" t="s">
        <v>228</v>
      </c>
    </row>
    <row r="68" spans="1:3" x14ac:dyDescent="0.2">
      <c r="A68" s="6" t="s">
        <v>60</v>
      </c>
      <c r="B68" s="8" t="s">
        <v>40</v>
      </c>
      <c r="C68" s="6" t="s">
        <v>229</v>
      </c>
    </row>
    <row r="69" spans="1:3" x14ac:dyDescent="0.2">
      <c r="A69" s="6" t="s">
        <v>230</v>
      </c>
      <c r="B69" s="8" t="s">
        <v>231</v>
      </c>
      <c r="C69" s="6" t="s">
        <v>232</v>
      </c>
    </row>
    <row r="70" spans="1:3" x14ac:dyDescent="0.2">
      <c r="A70" s="6" t="s">
        <v>233</v>
      </c>
      <c r="B70" s="8" t="s">
        <v>40</v>
      </c>
      <c r="C70" s="6" t="s">
        <v>234</v>
      </c>
    </row>
    <row r="71" spans="1:3" x14ac:dyDescent="0.2">
      <c r="A71" s="6" t="s">
        <v>235</v>
      </c>
      <c r="B71" s="8" t="s">
        <v>223</v>
      </c>
      <c r="C71" s="6" t="s">
        <v>236</v>
      </c>
    </row>
    <row r="72" spans="1:3" x14ac:dyDescent="0.2">
      <c r="A72" s="6" t="s">
        <v>237</v>
      </c>
      <c r="B72" s="8" t="s">
        <v>40</v>
      </c>
      <c r="C72" s="6" t="s">
        <v>238</v>
      </c>
    </row>
    <row r="73" spans="1:3" x14ac:dyDescent="0.2">
      <c r="A73" s="6" t="s">
        <v>239</v>
      </c>
      <c r="B73" s="8" t="s">
        <v>40</v>
      </c>
      <c r="C73" s="6" t="s">
        <v>240</v>
      </c>
    </row>
    <row r="74" spans="1:3" x14ac:dyDescent="0.2">
      <c r="A74" s="6" t="s">
        <v>241</v>
      </c>
      <c r="B74" s="8" t="s">
        <v>223</v>
      </c>
      <c r="C74" s="6" t="s">
        <v>242</v>
      </c>
    </row>
    <row r="75" spans="1:3" x14ac:dyDescent="0.2">
      <c r="A75" s="6" t="s">
        <v>27</v>
      </c>
      <c r="B75" s="8" t="s">
        <v>178</v>
      </c>
      <c r="C75" s="6" t="s">
        <v>243</v>
      </c>
    </row>
    <row r="76" spans="1:3" x14ac:dyDescent="0.2">
      <c r="A76" s="6" t="s">
        <v>244</v>
      </c>
      <c r="B76" s="8" t="s">
        <v>172</v>
      </c>
      <c r="C76" s="6" t="s">
        <v>245</v>
      </c>
    </row>
    <row r="77" spans="1:3" x14ac:dyDescent="0.2">
      <c r="A77" s="6" t="s">
        <v>246</v>
      </c>
      <c r="B77" s="8" t="s">
        <v>223</v>
      </c>
      <c r="C77" s="6" t="s">
        <v>247</v>
      </c>
    </row>
    <row r="78" spans="1:3" x14ac:dyDescent="0.2">
      <c r="A78" s="6" t="s">
        <v>248</v>
      </c>
      <c r="B78" s="8" t="s">
        <v>205</v>
      </c>
      <c r="C78" s="6" t="s">
        <v>249</v>
      </c>
    </row>
    <row r="79" spans="1:3" x14ac:dyDescent="0.2">
      <c r="A79" s="6" t="s">
        <v>250</v>
      </c>
      <c r="B79" s="8" t="s">
        <v>205</v>
      </c>
      <c r="C79" s="6" t="s">
        <v>251</v>
      </c>
    </row>
    <row r="80" spans="1:3" x14ac:dyDescent="0.2">
      <c r="A80" s="6" t="s">
        <v>252</v>
      </c>
      <c r="B80" s="8" t="s">
        <v>172</v>
      </c>
      <c r="C80" s="6" t="s">
        <v>253</v>
      </c>
    </row>
    <row r="81" spans="1:3" x14ac:dyDescent="0.2">
      <c r="A81" s="6" t="s">
        <v>254</v>
      </c>
      <c r="B81" s="8" t="s">
        <v>255</v>
      </c>
      <c r="C81" s="6" t="s">
        <v>256</v>
      </c>
    </row>
    <row r="82" spans="1:3" x14ac:dyDescent="0.2">
      <c r="A82" s="6" t="s">
        <v>257</v>
      </c>
      <c r="B82" s="8" t="s">
        <v>40</v>
      </c>
      <c r="C82" s="6" t="s">
        <v>258</v>
      </c>
    </row>
    <row r="83" spans="1:3" x14ac:dyDescent="0.2">
      <c r="A83" s="6" t="s">
        <v>259</v>
      </c>
      <c r="B83" s="8" t="s">
        <v>40</v>
      </c>
      <c r="C83" s="6" t="s">
        <v>260</v>
      </c>
    </row>
    <row r="84" spans="1:3" x14ac:dyDescent="0.2">
      <c r="A84" s="6" t="s">
        <v>261</v>
      </c>
      <c r="B84" s="8" t="s">
        <v>40</v>
      </c>
      <c r="C84" s="6" t="s">
        <v>262</v>
      </c>
    </row>
    <row r="85" spans="1:3" x14ac:dyDescent="0.2">
      <c r="A85" s="6" t="s">
        <v>263</v>
      </c>
      <c r="B85" s="8" t="s">
        <v>40</v>
      </c>
      <c r="C85" s="6" t="s">
        <v>264</v>
      </c>
    </row>
    <row r="86" spans="1:3" x14ac:dyDescent="0.2">
      <c r="A86" s="6" t="s">
        <v>265</v>
      </c>
      <c r="B86" s="8" t="s">
        <v>40</v>
      </c>
      <c r="C86" s="6" t="s">
        <v>266</v>
      </c>
    </row>
    <row r="87" spans="1:3" x14ac:dyDescent="0.2">
      <c r="A87" s="6" t="s">
        <v>267</v>
      </c>
      <c r="B87" s="8" t="s">
        <v>40</v>
      </c>
      <c r="C87" s="6" t="s">
        <v>268</v>
      </c>
    </row>
    <row r="88" spans="1:3" x14ac:dyDescent="0.2">
      <c r="A88" s="6" t="s">
        <v>269</v>
      </c>
      <c r="B88" s="8" t="s">
        <v>40</v>
      </c>
      <c r="C88" s="6" t="s">
        <v>270</v>
      </c>
    </row>
    <row r="89" spans="1:3" x14ac:dyDescent="0.2">
      <c r="A89" s="6" t="s">
        <v>271</v>
      </c>
      <c r="B89" s="8" t="s">
        <v>149</v>
      </c>
      <c r="C89" s="6" t="s">
        <v>272</v>
      </c>
    </row>
    <row r="90" spans="1:3" x14ac:dyDescent="0.2">
      <c r="A90" s="6" t="s">
        <v>273</v>
      </c>
      <c r="B90" s="8" t="s">
        <v>274</v>
      </c>
      <c r="C90" s="6" t="s">
        <v>275</v>
      </c>
    </row>
    <row r="91" spans="1:3" x14ac:dyDescent="0.2">
      <c r="A91" s="6" t="s">
        <v>276</v>
      </c>
      <c r="B91" s="8" t="s">
        <v>149</v>
      </c>
      <c r="C91" s="6" t="s">
        <v>277</v>
      </c>
    </row>
    <row r="92" spans="1:3" x14ac:dyDescent="0.2">
      <c r="A92" s="6" t="s">
        <v>278</v>
      </c>
      <c r="B92" s="8" t="s">
        <v>255</v>
      </c>
      <c r="C92" s="6" t="s">
        <v>279</v>
      </c>
    </row>
    <row r="93" spans="1:3" x14ac:dyDescent="0.2">
      <c r="A93" s="6" t="s">
        <v>280</v>
      </c>
      <c r="B93" s="8" t="s">
        <v>214</v>
      </c>
      <c r="C93" s="6" t="s">
        <v>281</v>
      </c>
    </row>
    <row r="94" spans="1:3" x14ac:dyDescent="0.2">
      <c r="A94" s="6" t="s">
        <v>282</v>
      </c>
      <c r="B94" s="8" t="s">
        <v>40</v>
      </c>
      <c r="C94" s="6" t="s">
        <v>283</v>
      </c>
    </row>
    <row r="95" spans="1:3" x14ac:dyDescent="0.2">
      <c r="A95" s="6" t="s">
        <v>284</v>
      </c>
      <c r="B95" s="8" t="s">
        <v>231</v>
      </c>
      <c r="C95" s="6" t="s">
        <v>285</v>
      </c>
    </row>
    <row r="96" spans="1:3" x14ac:dyDescent="0.2">
      <c r="A96" s="6" t="s">
        <v>286</v>
      </c>
      <c r="B96" s="8" t="s">
        <v>214</v>
      </c>
      <c r="C96" s="6" t="s">
        <v>287</v>
      </c>
    </row>
    <row r="97" spans="1:3" x14ac:dyDescent="0.2">
      <c r="A97" s="6" t="s">
        <v>288</v>
      </c>
      <c r="B97" s="8" t="s">
        <v>289</v>
      </c>
      <c r="C97" s="6" t="s">
        <v>290</v>
      </c>
    </row>
    <row r="98" spans="1:3" x14ac:dyDescent="0.2">
      <c r="A98" s="6" t="s">
        <v>291</v>
      </c>
      <c r="B98" s="8" t="s">
        <v>292</v>
      </c>
      <c r="C98" s="6" t="s">
        <v>293</v>
      </c>
    </row>
    <row r="99" spans="1:3" x14ac:dyDescent="0.2">
      <c r="A99" s="6" t="s">
        <v>294</v>
      </c>
      <c r="B99" s="8" t="s">
        <v>40</v>
      </c>
      <c r="C99" s="6" t="s">
        <v>295</v>
      </c>
    </row>
    <row r="100" spans="1:3" x14ac:dyDescent="0.2">
      <c r="A100" s="6" t="s">
        <v>296</v>
      </c>
      <c r="B100" s="8" t="s">
        <v>40</v>
      </c>
      <c r="C100" s="6" t="s">
        <v>297</v>
      </c>
    </row>
    <row r="101" spans="1:3" x14ac:dyDescent="0.2">
      <c r="A101" s="6" t="s">
        <v>298</v>
      </c>
      <c r="B101" s="8" t="s">
        <v>292</v>
      </c>
      <c r="C101" s="6" t="s">
        <v>299</v>
      </c>
    </row>
    <row r="102" spans="1:3" x14ac:dyDescent="0.2">
      <c r="A102" s="6" t="s">
        <v>300</v>
      </c>
      <c r="B102" s="8" t="s">
        <v>40</v>
      </c>
      <c r="C102" s="6" t="s">
        <v>301</v>
      </c>
    </row>
    <row r="103" spans="1:3" x14ac:dyDescent="0.2">
      <c r="A103" s="6" t="s">
        <v>302</v>
      </c>
      <c r="B103" s="8" t="s">
        <v>135</v>
      </c>
      <c r="C103" s="6" t="s">
        <v>303</v>
      </c>
    </row>
    <row r="104" spans="1:3" x14ac:dyDescent="0.2">
      <c r="A104" s="6" t="s">
        <v>553</v>
      </c>
      <c r="B104" s="8" t="s">
        <v>40</v>
      </c>
      <c r="C104" s="6" t="s">
        <v>527</v>
      </c>
    </row>
    <row r="105" spans="1:3" x14ac:dyDescent="0.2">
      <c r="A105" s="6" t="s">
        <v>554</v>
      </c>
      <c r="B105" s="8" t="s">
        <v>555</v>
      </c>
      <c r="C105" s="6" t="s">
        <v>556</v>
      </c>
    </row>
    <row r="106" spans="1:3" x14ac:dyDescent="0.2">
      <c r="A106" s="6" t="s">
        <v>304</v>
      </c>
      <c r="B106" s="8" t="s">
        <v>40</v>
      </c>
      <c r="C106" s="6" t="s">
        <v>305</v>
      </c>
    </row>
    <row r="107" spans="1:3" x14ac:dyDescent="0.2">
      <c r="A107" s="6" t="s">
        <v>306</v>
      </c>
      <c r="B107" s="8" t="s">
        <v>40</v>
      </c>
      <c r="C107" s="6" t="s">
        <v>307</v>
      </c>
    </row>
    <row r="108" spans="1:3" x14ac:dyDescent="0.2">
      <c r="A108" s="6" t="s">
        <v>557</v>
      </c>
      <c r="B108" s="8" t="s">
        <v>40</v>
      </c>
      <c r="C108" s="6" t="s">
        <v>558</v>
      </c>
    </row>
    <row r="109" spans="1:3" x14ac:dyDescent="0.2">
      <c r="A109" s="6" t="s">
        <v>308</v>
      </c>
      <c r="B109" s="8" t="s">
        <v>214</v>
      </c>
      <c r="C109" s="6" t="s">
        <v>309</v>
      </c>
    </row>
    <row r="110" spans="1:3" x14ac:dyDescent="0.2">
      <c r="A110" s="6" t="s">
        <v>310</v>
      </c>
      <c r="B110" s="8" t="s">
        <v>149</v>
      </c>
      <c r="C110" s="6" t="s">
        <v>311</v>
      </c>
    </row>
    <row r="111" spans="1:3" x14ac:dyDescent="0.2">
      <c r="A111" s="6" t="s">
        <v>312</v>
      </c>
      <c r="B111" s="8" t="s">
        <v>231</v>
      </c>
      <c r="C111" s="6" t="s">
        <v>313</v>
      </c>
    </row>
    <row r="112" spans="1:3" x14ac:dyDescent="0.2">
      <c r="A112" s="6" t="s">
        <v>314</v>
      </c>
      <c r="B112" s="8" t="s">
        <v>135</v>
      </c>
      <c r="C112" s="6" t="s">
        <v>315</v>
      </c>
    </row>
    <row r="113" spans="1:3" x14ac:dyDescent="0.2">
      <c r="A113" s="6" t="s">
        <v>316</v>
      </c>
      <c r="B113" s="8" t="s">
        <v>255</v>
      </c>
      <c r="C113" s="6" t="s">
        <v>317</v>
      </c>
    </row>
    <row r="114" spans="1:3" x14ac:dyDescent="0.2">
      <c r="A114" s="6" t="s">
        <v>318</v>
      </c>
      <c r="B114" s="8" t="s">
        <v>319</v>
      </c>
      <c r="C114" s="6" t="s">
        <v>320</v>
      </c>
    </row>
    <row r="115" spans="1:3" x14ac:dyDescent="0.2">
      <c r="A115" s="6" t="s">
        <v>321</v>
      </c>
      <c r="B115" s="8" t="s">
        <v>255</v>
      </c>
      <c r="C115" s="6" t="s">
        <v>322</v>
      </c>
    </row>
    <row r="116" spans="1:3" x14ac:dyDescent="0.2">
      <c r="A116" s="6" t="s">
        <v>614</v>
      </c>
      <c r="B116" s="8" t="s">
        <v>319</v>
      </c>
      <c r="C116" s="6" t="s">
        <v>615</v>
      </c>
    </row>
    <row r="117" spans="1:3" x14ac:dyDescent="0.2">
      <c r="A117" s="6" t="s">
        <v>323</v>
      </c>
      <c r="B117" s="8" t="s">
        <v>255</v>
      </c>
    </row>
    <row r="118" spans="1:3" x14ac:dyDescent="0.2">
      <c r="A118" s="6" t="s">
        <v>325</v>
      </c>
      <c r="B118" s="8" t="s">
        <v>149</v>
      </c>
      <c r="C118" s="6" t="s">
        <v>324</v>
      </c>
    </row>
    <row r="119" spans="1:3" x14ac:dyDescent="0.2">
      <c r="A119" s="6" t="s">
        <v>102</v>
      </c>
      <c r="B119" s="8" t="s">
        <v>149</v>
      </c>
      <c r="C119" s="6" t="s">
        <v>326</v>
      </c>
    </row>
    <row r="120" spans="1:3" x14ac:dyDescent="0.2">
      <c r="A120" s="6" t="s">
        <v>327</v>
      </c>
      <c r="B120" s="8" t="s">
        <v>53</v>
      </c>
      <c r="C120" s="6" t="s">
        <v>328</v>
      </c>
    </row>
    <row r="121" spans="1:3" x14ac:dyDescent="0.2">
      <c r="A121" s="6" t="s">
        <v>329</v>
      </c>
      <c r="B121" s="8" t="s">
        <v>40</v>
      </c>
      <c r="C121" s="6" t="s">
        <v>330</v>
      </c>
    </row>
    <row r="122" spans="1:3" x14ac:dyDescent="0.2">
      <c r="A122" s="6" t="s">
        <v>331</v>
      </c>
      <c r="B122" s="8" t="s">
        <v>255</v>
      </c>
      <c r="C122" s="6" t="s">
        <v>332</v>
      </c>
    </row>
    <row r="123" spans="1:3" x14ac:dyDescent="0.2">
      <c r="A123" s="6" t="s">
        <v>333</v>
      </c>
      <c r="B123" s="8" t="s">
        <v>149</v>
      </c>
      <c r="C123" s="6" t="s">
        <v>334</v>
      </c>
    </row>
    <row r="124" spans="1:3" x14ac:dyDescent="0.2">
      <c r="A124" s="6" t="s">
        <v>335</v>
      </c>
      <c r="B124" s="8" t="s">
        <v>255</v>
      </c>
      <c r="C124" s="6" t="s">
        <v>336</v>
      </c>
    </row>
    <row r="125" spans="1:3" x14ac:dyDescent="0.2">
      <c r="A125" s="6" t="s">
        <v>337</v>
      </c>
      <c r="B125" s="8" t="s">
        <v>53</v>
      </c>
      <c r="C125" s="6" t="s">
        <v>338</v>
      </c>
    </row>
    <row r="126" spans="1:3" x14ac:dyDescent="0.2">
      <c r="A126" s="6" t="s">
        <v>339</v>
      </c>
      <c r="B126" s="8" t="s">
        <v>149</v>
      </c>
      <c r="C126" s="6" t="s">
        <v>340</v>
      </c>
    </row>
    <row r="127" spans="1:3" x14ac:dyDescent="0.2">
      <c r="A127" s="6" t="s">
        <v>341</v>
      </c>
      <c r="B127" s="8" t="s">
        <v>65</v>
      </c>
      <c r="C127" s="6" t="s">
        <v>342</v>
      </c>
    </row>
    <row r="128" spans="1:3" x14ac:dyDescent="0.2">
      <c r="A128" s="6" t="s">
        <v>343</v>
      </c>
      <c r="B128" s="8" t="s">
        <v>149</v>
      </c>
      <c r="C128" s="6" t="s">
        <v>344</v>
      </c>
    </row>
    <row r="129" spans="1:3" x14ac:dyDescent="0.2">
      <c r="A129" s="6" t="s">
        <v>345</v>
      </c>
      <c r="B129" s="8" t="s">
        <v>149</v>
      </c>
      <c r="C129" s="6" t="s">
        <v>346</v>
      </c>
    </row>
    <row r="130" spans="1:3" x14ac:dyDescent="0.2">
      <c r="A130" s="6" t="s">
        <v>347</v>
      </c>
      <c r="B130" s="8" t="s">
        <v>149</v>
      </c>
      <c r="C130" s="6" t="s">
        <v>348</v>
      </c>
    </row>
    <row r="131" spans="1:3" x14ac:dyDescent="0.2">
      <c r="A131" s="6" t="s">
        <v>349</v>
      </c>
      <c r="B131" s="8" t="s">
        <v>255</v>
      </c>
      <c r="C131" s="6" t="s">
        <v>350</v>
      </c>
    </row>
    <row r="132" spans="1:3" x14ac:dyDescent="0.2">
      <c r="A132" s="6" t="s">
        <v>351</v>
      </c>
      <c r="B132" s="8" t="s">
        <v>255</v>
      </c>
    </row>
    <row r="133" spans="1:3" x14ac:dyDescent="0.2">
      <c r="A133" s="6" t="s">
        <v>352</v>
      </c>
      <c r="B133" s="8" t="s">
        <v>353</v>
      </c>
      <c r="C133" s="6" t="s">
        <v>354</v>
      </c>
    </row>
    <row r="134" spans="1:3" x14ac:dyDescent="0.2">
      <c r="A134" s="6" t="s">
        <v>616</v>
      </c>
      <c r="B134" s="8" t="s">
        <v>255</v>
      </c>
      <c r="C134" s="6" t="s">
        <v>617</v>
      </c>
    </row>
    <row r="135" spans="1:3" x14ac:dyDescent="0.2">
      <c r="A135" s="6" t="s">
        <v>355</v>
      </c>
      <c r="B135" s="8" t="s">
        <v>40</v>
      </c>
      <c r="C135" s="6" t="s">
        <v>356</v>
      </c>
    </row>
    <row r="136" spans="1:3" x14ac:dyDescent="0.2">
      <c r="A136" s="6" t="s">
        <v>357</v>
      </c>
      <c r="B136" s="8" t="s">
        <v>205</v>
      </c>
      <c r="C136" s="6" t="s">
        <v>358</v>
      </c>
    </row>
    <row r="137" spans="1:3" x14ac:dyDescent="0.2">
      <c r="A137" s="6" t="s">
        <v>359</v>
      </c>
      <c r="B137" s="8" t="s">
        <v>360</v>
      </c>
      <c r="C137" s="6" t="s">
        <v>361</v>
      </c>
    </row>
    <row r="138" spans="1:3" x14ac:dyDescent="0.2">
      <c r="A138" s="6" t="s">
        <v>559</v>
      </c>
      <c r="B138" s="8" t="s">
        <v>40</v>
      </c>
      <c r="C138" s="6" t="s">
        <v>560</v>
      </c>
    </row>
    <row r="139" spans="1:3" x14ac:dyDescent="0.2">
      <c r="A139" s="6" t="s">
        <v>362</v>
      </c>
      <c r="B139" s="8" t="s">
        <v>363</v>
      </c>
      <c r="C139" s="6" t="s">
        <v>364</v>
      </c>
    </row>
    <row r="140" spans="1:3" x14ac:dyDescent="0.2">
      <c r="A140" s="6" t="s">
        <v>365</v>
      </c>
      <c r="B140" s="8" t="s">
        <v>363</v>
      </c>
      <c r="C140" s="6" t="s">
        <v>366</v>
      </c>
    </row>
    <row r="141" spans="1:3" x14ac:dyDescent="0.2">
      <c r="A141" s="6" t="s">
        <v>367</v>
      </c>
      <c r="B141" s="8" t="s">
        <v>40</v>
      </c>
      <c r="C141" s="6" t="s">
        <v>368</v>
      </c>
    </row>
    <row r="142" spans="1:3" x14ac:dyDescent="0.2">
      <c r="A142" s="6" t="s">
        <v>369</v>
      </c>
      <c r="B142" s="8" t="s">
        <v>40</v>
      </c>
      <c r="C142" s="6" t="s">
        <v>370</v>
      </c>
    </row>
    <row r="143" spans="1:3" x14ac:dyDescent="0.2">
      <c r="A143" s="6" t="s">
        <v>561</v>
      </c>
      <c r="B143" s="8" t="s">
        <v>542</v>
      </c>
      <c r="C143" s="6" t="s">
        <v>562</v>
      </c>
    </row>
    <row r="144" spans="1:3" x14ac:dyDescent="0.2">
      <c r="A144" s="6" t="s">
        <v>563</v>
      </c>
      <c r="B144" s="8" t="s">
        <v>40</v>
      </c>
      <c r="C144" s="6" t="s">
        <v>564</v>
      </c>
    </row>
    <row r="145" spans="1:3" x14ac:dyDescent="0.2">
      <c r="A145" s="6" t="s">
        <v>565</v>
      </c>
      <c r="B145" s="8" t="s">
        <v>40</v>
      </c>
      <c r="C145" s="6" t="s">
        <v>566</v>
      </c>
    </row>
    <row r="146" spans="1:3" x14ac:dyDescent="0.2">
      <c r="A146" s="6" t="s">
        <v>567</v>
      </c>
      <c r="B146" s="8" t="s">
        <v>40</v>
      </c>
      <c r="C146" s="6" t="s">
        <v>568</v>
      </c>
    </row>
    <row r="147" spans="1:3" x14ac:dyDescent="0.2">
      <c r="A147" s="6" t="s">
        <v>371</v>
      </c>
      <c r="B147" s="8" t="s">
        <v>40</v>
      </c>
      <c r="C147" s="6" t="s">
        <v>372</v>
      </c>
    </row>
    <row r="148" spans="1:3" x14ac:dyDescent="0.2">
      <c r="A148" s="6" t="s">
        <v>373</v>
      </c>
      <c r="B148" s="8" t="s">
        <v>19</v>
      </c>
      <c r="C148" s="6" t="s">
        <v>374</v>
      </c>
    </row>
    <row r="149" spans="1:3" x14ac:dyDescent="0.2">
      <c r="A149" s="6" t="s">
        <v>569</v>
      </c>
      <c r="B149" s="8" t="s">
        <v>40</v>
      </c>
      <c r="C149" s="6" t="s">
        <v>570</v>
      </c>
    </row>
    <row r="150" spans="1:3" x14ac:dyDescent="0.2">
      <c r="A150" s="6" t="s">
        <v>375</v>
      </c>
      <c r="B150" s="8" t="s">
        <v>40</v>
      </c>
      <c r="C150" s="6" t="s">
        <v>376</v>
      </c>
    </row>
    <row r="151" spans="1:3" x14ac:dyDescent="0.2">
      <c r="A151" s="6" t="s">
        <v>377</v>
      </c>
      <c r="B151" s="8" t="s">
        <v>289</v>
      </c>
      <c r="C151" s="6" t="s">
        <v>378</v>
      </c>
    </row>
    <row r="152" spans="1:3" x14ac:dyDescent="0.2">
      <c r="A152" s="6" t="s">
        <v>379</v>
      </c>
      <c r="B152" s="8" t="s">
        <v>214</v>
      </c>
      <c r="C152" s="6" t="s">
        <v>380</v>
      </c>
    </row>
    <row r="153" spans="1:3" x14ac:dyDescent="0.2">
      <c r="A153" s="6" t="s">
        <v>381</v>
      </c>
      <c r="B153" s="8" t="s">
        <v>214</v>
      </c>
      <c r="C153" s="6" t="s">
        <v>382</v>
      </c>
    </row>
    <row r="154" spans="1:3" x14ac:dyDescent="0.2">
      <c r="A154" s="6" t="s">
        <v>571</v>
      </c>
      <c r="B154" s="8" t="s">
        <v>555</v>
      </c>
      <c r="C154" s="6" t="s">
        <v>572</v>
      </c>
    </row>
    <row r="155" spans="1:3" x14ac:dyDescent="0.2">
      <c r="A155" s="6" t="s">
        <v>383</v>
      </c>
      <c r="B155" s="8" t="s">
        <v>40</v>
      </c>
      <c r="C155" s="6" t="s">
        <v>18</v>
      </c>
    </row>
    <row r="156" spans="1:3" x14ac:dyDescent="0.2">
      <c r="A156" s="6" t="s">
        <v>384</v>
      </c>
      <c r="B156" s="8" t="s">
        <v>144</v>
      </c>
      <c r="C156" s="6" t="s">
        <v>385</v>
      </c>
    </row>
    <row r="157" spans="1:3" x14ac:dyDescent="0.2">
      <c r="A157" s="6" t="s">
        <v>386</v>
      </c>
      <c r="B157" s="8" t="s">
        <v>205</v>
      </c>
      <c r="C157" s="6" t="s">
        <v>387</v>
      </c>
    </row>
    <row r="158" spans="1:3" x14ac:dyDescent="0.2">
      <c r="A158" s="6" t="s">
        <v>388</v>
      </c>
      <c r="B158" s="8" t="s">
        <v>172</v>
      </c>
      <c r="C158" s="6" t="s">
        <v>389</v>
      </c>
    </row>
    <row r="159" spans="1:3" x14ac:dyDescent="0.2">
      <c r="A159" s="6" t="s">
        <v>390</v>
      </c>
      <c r="B159" s="8" t="s">
        <v>391</v>
      </c>
      <c r="C159" s="6" t="s">
        <v>392</v>
      </c>
    </row>
    <row r="160" spans="1:3" x14ac:dyDescent="0.2">
      <c r="A160" s="6" t="s">
        <v>393</v>
      </c>
      <c r="B160" s="8" t="s">
        <v>149</v>
      </c>
      <c r="C160" s="6" t="s">
        <v>394</v>
      </c>
    </row>
    <row r="161" spans="1:3" x14ac:dyDescent="0.2">
      <c r="A161" s="6" t="s">
        <v>395</v>
      </c>
      <c r="B161" s="8" t="s">
        <v>149</v>
      </c>
      <c r="C161" s="6" t="s">
        <v>396</v>
      </c>
    </row>
    <row r="162" spans="1:3" x14ac:dyDescent="0.2">
      <c r="A162" s="6" t="s">
        <v>397</v>
      </c>
      <c r="B162" s="8" t="s">
        <v>149</v>
      </c>
      <c r="C162" s="6" t="s">
        <v>398</v>
      </c>
    </row>
    <row r="163" spans="1:3" x14ac:dyDescent="0.2">
      <c r="A163" s="6" t="s">
        <v>399</v>
      </c>
      <c r="B163" s="8" t="s">
        <v>319</v>
      </c>
      <c r="C163" s="6" t="s">
        <v>400</v>
      </c>
    </row>
    <row r="164" spans="1:3" x14ac:dyDescent="0.2">
      <c r="A164" s="6" t="s">
        <v>401</v>
      </c>
      <c r="B164" s="8" t="s">
        <v>319</v>
      </c>
      <c r="C164" s="6" t="s">
        <v>402</v>
      </c>
    </row>
    <row r="165" spans="1:3" x14ac:dyDescent="0.2">
      <c r="A165" s="6" t="s">
        <v>573</v>
      </c>
      <c r="B165" s="8" t="s">
        <v>574</v>
      </c>
      <c r="C165" s="6" t="s">
        <v>575</v>
      </c>
    </row>
    <row r="166" spans="1:3" x14ac:dyDescent="0.2">
      <c r="A166" s="6" t="s">
        <v>576</v>
      </c>
      <c r="B166" s="8" t="s">
        <v>574</v>
      </c>
      <c r="C166" s="6" t="s">
        <v>577</v>
      </c>
    </row>
    <row r="167" spans="1:3" x14ac:dyDescent="0.2">
      <c r="A167" s="6" t="s">
        <v>578</v>
      </c>
      <c r="B167" s="8" t="s">
        <v>40</v>
      </c>
      <c r="C167" s="6" t="s">
        <v>527</v>
      </c>
    </row>
    <row r="168" spans="1:3" x14ac:dyDescent="0.2">
      <c r="A168" s="6" t="s">
        <v>403</v>
      </c>
      <c r="B168" s="8" t="s">
        <v>53</v>
      </c>
      <c r="C168" s="6" t="s">
        <v>404</v>
      </c>
    </row>
    <row r="169" spans="1:3" x14ac:dyDescent="0.2">
      <c r="A169" s="6" t="s">
        <v>405</v>
      </c>
      <c r="B169" s="8" t="s">
        <v>214</v>
      </c>
      <c r="C169" s="6" t="s">
        <v>406</v>
      </c>
    </row>
    <row r="170" spans="1:3" x14ac:dyDescent="0.2">
      <c r="A170" s="6" t="s">
        <v>15</v>
      </c>
      <c r="B170" s="8" t="s">
        <v>407</v>
      </c>
      <c r="C170" s="6" t="s">
        <v>408</v>
      </c>
    </row>
    <row r="171" spans="1:3" x14ac:dyDescent="0.2">
      <c r="A171" s="6" t="s">
        <v>409</v>
      </c>
    </row>
    <row r="172" spans="1:3" x14ac:dyDescent="0.2">
      <c r="A172" s="6" t="s">
        <v>579</v>
      </c>
      <c r="B172" s="8" t="s">
        <v>40</v>
      </c>
      <c r="C172" s="6" t="s">
        <v>527</v>
      </c>
    </row>
    <row r="173" spans="1:3" x14ac:dyDescent="0.2">
      <c r="A173" s="6" t="s">
        <v>410</v>
      </c>
      <c r="B173" s="8" t="s">
        <v>411</v>
      </c>
      <c r="C173" s="6" t="s">
        <v>412</v>
      </c>
    </row>
    <row r="174" spans="1:3" x14ac:dyDescent="0.2">
      <c r="A174" s="6" t="s">
        <v>413</v>
      </c>
      <c r="B174" s="8" t="s">
        <v>411</v>
      </c>
      <c r="C174" s="6" t="s">
        <v>414</v>
      </c>
    </row>
    <row r="175" spans="1:3" x14ac:dyDescent="0.2">
      <c r="A175" s="6" t="s">
        <v>580</v>
      </c>
      <c r="B175" s="8" t="s">
        <v>21</v>
      </c>
      <c r="C175" s="6" t="s">
        <v>581</v>
      </c>
    </row>
    <row r="176" spans="1:3" x14ac:dyDescent="0.2">
      <c r="A176" s="6" t="s">
        <v>415</v>
      </c>
      <c r="B176" s="8" t="s">
        <v>411</v>
      </c>
      <c r="C176" s="6" t="s">
        <v>416</v>
      </c>
    </row>
    <row r="177" spans="1:3" x14ac:dyDescent="0.2">
      <c r="A177" s="6" t="s">
        <v>417</v>
      </c>
      <c r="B177" s="8" t="s">
        <v>411</v>
      </c>
      <c r="C177" s="6" t="s">
        <v>418</v>
      </c>
    </row>
    <row r="178" spans="1:3" x14ac:dyDescent="0.2">
      <c r="A178" s="6" t="s">
        <v>419</v>
      </c>
      <c r="B178" s="8" t="s">
        <v>411</v>
      </c>
      <c r="C178" s="6" t="s">
        <v>420</v>
      </c>
    </row>
    <row r="179" spans="1:3" x14ac:dyDescent="0.2">
      <c r="A179" s="6" t="s">
        <v>582</v>
      </c>
      <c r="B179" s="8" t="s">
        <v>21</v>
      </c>
      <c r="C179" s="6" t="s">
        <v>583</v>
      </c>
    </row>
    <row r="180" spans="1:3" x14ac:dyDescent="0.2">
      <c r="A180" s="6" t="s">
        <v>421</v>
      </c>
      <c r="B180" s="8" t="s">
        <v>411</v>
      </c>
      <c r="C180" s="6" t="s">
        <v>422</v>
      </c>
    </row>
    <row r="181" spans="1:3" x14ac:dyDescent="0.2">
      <c r="A181" s="6" t="s">
        <v>423</v>
      </c>
      <c r="B181" s="8" t="s">
        <v>107</v>
      </c>
      <c r="C181" s="6" t="s">
        <v>424</v>
      </c>
    </row>
    <row r="182" spans="1:3" x14ac:dyDescent="0.2">
      <c r="A182" s="6" t="s">
        <v>425</v>
      </c>
      <c r="B182" s="8" t="s">
        <v>40</v>
      </c>
      <c r="C182" s="6" t="s">
        <v>426</v>
      </c>
    </row>
    <row r="183" spans="1:3" x14ac:dyDescent="0.2">
      <c r="A183" s="6" t="s">
        <v>16</v>
      </c>
      <c r="B183" s="8" t="s">
        <v>21</v>
      </c>
      <c r="C183" s="6" t="s">
        <v>427</v>
      </c>
    </row>
    <row r="184" spans="1:3" x14ac:dyDescent="0.2">
      <c r="A184" s="6" t="s">
        <v>584</v>
      </c>
      <c r="B184" s="8" t="s">
        <v>21</v>
      </c>
      <c r="C184" s="6" t="s">
        <v>585</v>
      </c>
    </row>
    <row r="185" spans="1:3" x14ac:dyDescent="0.2">
      <c r="A185" s="6" t="s">
        <v>428</v>
      </c>
      <c r="B185" s="8" t="s">
        <v>21</v>
      </c>
      <c r="C185" s="6" t="s">
        <v>429</v>
      </c>
    </row>
    <row r="186" spans="1:3" x14ac:dyDescent="0.2">
      <c r="A186" s="6" t="s">
        <v>586</v>
      </c>
      <c r="B186" s="8" t="s">
        <v>21</v>
      </c>
      <c r="C186" s="6" t="s">
        <v>587</v>
      </c>
    </row>
    <row r="187" spans="1:3" x14ac:dyDescent="0.2">
      <c r="A187" s="6" t="s">
        <v>29</v>
      </c>
      <c r="B187" s="8" t="s">
        <v>21</v>
      </c>
      <c r="C187" s="6" t="s">
        <v>430</v>
      </c>
    </row>
    <row r="188" spans="1:3" x14ac:dyDescent="0.2">
      <c r="A188" s="6" t="s">
        <v>588</v>
      </c>
      <c r="B188" s="8" t="s">
        <v>21</v>
      </c>
      <c r="C188" s="6" t="s">
        <v>589</v>
      </c>
    </row>
    <row r="189" spans="1:3" x14ac:dyDescent="0.2">
      <c r="A189" s="6" t="s">
        <v>431</v>
      </c>
      <c r="B189" s="8" t="s">
        <v>21</v>
      </c>
      <c r="C189" s="6" t="s">
        <v>432</v>
      </c>
    </row>
    <row r="190" spans="1:3" x14ac:dyDescent="0.2">
      <c r="A190" s="6" t="s">
        <v>433</v>
      </c>
      <c r="B190" s="8" t="s">
        <v>21</v>
      </c>
      <c r="C190" s="6" t="s">
        <v>434</v>
      </c>
    </row>
    <row r="191" spans="1:3" x14ac:dyDescent="0.2">
      <c r="A191" s="6" t="s">
        <v>435</v>
      </c>
      <c r="B191" s="8" t="s">
        <v>21</v>
      </c>
      <c r="C191" s="6" t="s">
        <v>436</v>
      </c>
    </row>
    <row r="192" spans="1:3" x14ac:dyDescent="0.2">
      <c r="A192" s="6" t="s">
        <v>590</v>
      </c>
      <c r="B192" s="8" t="s">
        <v>21</v>
      </c>
      <c r="C192" s="6" t="s">
        <v>591</v>
      </c>
    </row>
    <row r="193" spans="1:3" x14ac:dyDescent="0.2">
      <c r="A193" s="6" t="s">
        <v>437</v>
      </c>
      <c r="B193" s="8" t="s">
        <v>21</v>
      </c>
      <c r="C193" s="6" t="s">
        <v>438</v>
      </c>
    </row>
    <row r="194" spans="1:3" x14ac:dyDescent="0.2">
      <c r="A194" s="6" t="s">
        <v>439</v>
      </c>
      <c r="B194" s="8" t="s">
        <v>21</v>
      </c>
      <c r="C194" s="6" t="s">
        <v>440</v>
      </c>
    </row>
    <row r="195" spans="1:3" x14ac:dyDescent="0.2">
      <c r="A195" s="6" t="s">
        <v>592</v>
      </c>
      <c r="B195" s="8" t="s">
        <v>21</v>
      </c>
      <c r="C195" s="6" t="s">
        <v>593</v>
      </c>
    </row>
    <row r="196" spans="1:3" x14ac:dyDescent="0.2">
      <c r="A196" s="6" t="s">
        <v>441</v>
      </c>
      <c r="B196" s="8" t="s">
        <v>19</v>
      </c>
      <c r="C196" s="6" t="s">
        <v>442</v>
      </c>
    </row>
    <row r="197" spans="1:3" x14ac:dyDescent="0.2">
      <c r="A197" s="6" t="s">
        <v>443</v>
      </c>
      <c r="B197" s="8" t="s">
        <v>19</v>
      </c>
      <c r="C197" s="6" t="s">
        <v>444</v>
      </c>
    </row>
    <row r="198" spans="1:3" x14ac:dyDescent="0.2">
      <c r="A198" s="6" t="s">
        <v>445</v>
      </c>
      <c r="B198" s="8" t="s">
        <v>172</v>
      </c>
      <c r="C198" s="6" t="s">
        <v>446</v>
      </c>
    </row>
    <row r="199" spans="1:3" x14ac:dyDescent="0.2">
      <c r="A199" s="6" t="s">
        <v>447</v>
      </c>
      <c r="B199" s="8" t="s">
        <v>53</v>
      </c>
      <c r="C199" s="6" t="s">
        <v>448</v>
      </c>
    </row>
    <row r="200" spans="1:3" x14ac:dyDescent="0.2">
      <c r="A200" s="6" t="s">
        <v>618</v>
      </c>
      <c r="B200" s="8" t="s">
        <v>21</v>
      </c>
      <c r="C200" s="6" t="s">
        <v>619</v>
      </c>
    </row>
    <row r="201" spans="1:3" x14ac:dyDescent="0.2">
      <c r="A201" s="6" t="s">
        <v>620</v>
      </c>
      <c r="B201" s="8" t="s">
        <v>21</v>
      </c>
      <c r="C201" s="6" t="s">
        <v>621</v>
      </c>
    </row>
    <row r="202" spans="1:3" x14ac:dyDescent="0.2">
      <c r="A202" s="6" t="s">
        <v>622</v>
      </c>
      <c r="B202" s="8" t="s">
        <v>21</v>
      </c>
      <c r="C202" s="6" t="s">
        <v>623</v>
      </c>
    </row>
    <row r="203" spans="1:3" x14ac:dyDescent="0.2">
      <c r="A203" s="6" t="s">
        <v>624</v>
      </c>
      <c r="B203" s="8" t="s">
        <v>21</v>
      </c>
      <c r="C203" s="6" t="s">
        <v>625</v>
      </c>
    </row>
    <row r="204" spans="1:3" x14ac:dyDescent="0.2">
      <c r="A204" s="6" t="s">
        <v>626</v>
      </c>
      <c r="B204" s="8" t="s">
        <v>21</v>
      </c>
      <c r="C204" s="6" t="s">
        <v>627</v>
      </c>
    </row>
    <row r="205" spans="1:3" x14ac:dyDescent="0.2">
      <c r="A205" s="6" t="s">
        <v>628</v>
      </c>
      <c r="B205" s="8" t="s">
        <v>21</v>
      </c>
      <c r="C205" s="6" t="s">
        <v>629</v>
      </c>
    </row>
    <row r="206" spans="1:3" x14ac:dyDescent="0.2">
      <c r="A206" s="6" t="s">
        <v>630</v>
      </c>
      <c r="B206" s="8" t="s">
        <v>21</v>
      </c>
      <c r="C206" s="6" t="s">
        <v>631</v>
      </c>
    </row>
    <row r="207" spans="1:3" x14ac:dyDescent="0.2">
      <c r="A207" s="6" t="s">
        <v>449</v>
      </c>
      <c r="B207" s="8" t="s">
        <v>21</v>
      </c>
      <c r="C207" s="6" t="s">
        <v>627</v>
      </c>
    </row>
    <row r="208" spans="1:3" x14ac:dyDescent="0.2">
      <c r="A208" s="6" t="s">
        <v>450</v>
      </c>
      <c r="B208" s="8" t="s">
        <v>19</v>
      </c>
      <c r="C208" s="6" t="s">
        <v>451</v>
      </c>
    </row>
    <row r="209" spans="1:3" x14ac:dyDescent="0.2">
      <c r="A209" s="6" t="s">
        <v>452</v>
      </c>
      <c r="B209" s="8" t="s">
        <v>19</v>
      </c>
      <c r="C209" s="6" t="s">
        <v>453</v>
      </c>
    </row>
    <row r="210" spans="1:3" x14ac:dyDescent="0.2">
      <c r="A210" s="6" t="s">
        <v>632</v>
      </c>
      <c r="B210" s="8" t="s">
        <v>21</v>
      </c>
      <c r="C210" s="6" t="s">
        <v>633</v>
      </c>
    </row>
    <row r="211" spans="1:3" x14ac:dyDescent="0.2">
      <c r="A211" s="6" t="s">
        <v>634</v>
      </c>
      <c r="B211" s="8" t="s">
        <v>21</v>
      </c>
      <c r="C211" s="6" t="s">
        <v>635</v>
      </c>
    </row>
    <row r="212" spans="1:3" x14ac:dyDescent="0.2">
      <c r="A212" s="6" t="s">
        <v>636</v>
      </c>
      <c r="B212" s="8" t="s">
        <v>21</v>
      </c>
      <c r="C212" s="6" t="s">
        <v>637</v>
      </c>
    </row>
    <row r="213" spans="1:3" x14ac:dyDescent="0.2">
      <c r="A213" s="6" t="s">
        <v>638</v>
      </c>
      <c r="B213" s="8" t="s">
        <v>21</v>
      </c>
      <c r="C213" s="6" t="s">
        <v>639</v>
      </c>
    </row>
    <row r="214" spans="1:3" x14ac:dyDescent="0.2">
      <c r="A214" s="6" t="s">
        <v>640</v>
      </c>
      <c r="B214" s="8" t="s">
        <v>21</v>
      </c>
      <c r="C214" s="6" t="s">
        <v>641</v>
      </c>
    </row>
    <row r="215" spans="1:3" x14ac:dyDescent="0.2">
      <c r="A215" s="6" t="s">
        <v>594</v>
      </c>
      <c r="B215" s="8" t="s">
        <v>189</v>
      </c>
      <c r="C215" s="6" t="s">
        <v>595</v>
      </c>
    </row>
    <row r="216" spans="1:3" x14ac:dyDescent="0.2">
      <c r="A216" s="6" t="s">
        <v>596</v>
      </c>
      <c r="B216" s="8" t="s">
        <v>597</v>
      </c>
      <c r="C216" s="6" t="s">
        <v>598</v>
      </c>
    </row>
    <row r="217" spans="1:3" x14ac:dyDescent="0.2">
      <c r="A217" s="6" t="s">
        <v>599</v>
      </c>
      <c r="B217" s="8" t="s">
        <v>40</v>
      </c>
      <c r="C217" s="6" t="s">
        <v>600</v>
      </c>
    </row>
    <row r="218" spans="1:3" x14ac:dyDescent="0.2">
      <c r="A218" s="6" t="s">
        <v>454</v>
      </c>
      <c r="B218" s="8" t="s">
        <v>223</v>
      </c>
    </row>
    <row r="219" spans="1:3" x14ac:dyDescent="0.2">
      <c r="A219" s="6" t="s">
        <v>455</v>
      </c>
      <c r="C219" s="6" t="s">
        <v>456</v>
      </c>
    </row>
    <row r="220" spans="1:3" x14ac:dyDescent="0.2">
      <c r="A220" s="6" t="s">
        <v>457</v>
      </c>
      <c r="B220" s="8" t="s">
        <v>458</v>
      </c>
      <c r="C220" s="6" t="s">
        <v>459</v>
      </c>
    </row>
    <row r="221" spans="1:3" x14ac:dyDescent="0.2">
      <c r="A221" s="6" t="s">
        <v>460</v>
      </c>
      <c r="B221" s="8" t="s">
        <v>40</v>
      </c>
      <c r="C221" s="6" t="s">
        <v>461</v>
      </c>
    </row>
    <row r="222" spans="1:3" x14ac:dyDescent="0.2">
      <c r="A222" s="6" t="s">
        <v>462</v>
      </c>
      <c r="B222" s="8" t="s">
        <v>458</v>
      </c>
      <c r="C222" s="6" t="s">
        <v>463</v>
      </c>
    </row>
    <row r="223" spans="1:3" x14ac:dyDescent="0.2">
      <c r="A223" s="6" t="s">
        <v>464</v>
      </c>
      <c r="B223" s="8" t="s">
        <v>458</v>
      </c>
      <c r="C223" s="6" t="s">
        <v>465</v>
      </c>
    </row>
    <row r="224" spans="1:3" x14ac:dyDescent="0.2">
      <c r="A224" s="6" t="s">
        <v>601</v>
      </c>
      <c r="B224" s="8" t="s">
        <v>40</v>
      </c>
      <c r="C224" s="6" t="s">
        <v>602</v>
      </c>
    </row>
    <row r="225" spans="1:3" x14ac:dyDescent="0.2">
      <c r="A225" s="6" t="s">
        <v>603</v>
      </c>
      <c r="B225" s="8" t="s">
        <v>40</v>
      </c>
      <c r="C225" s="6" t="s">
        <v>604</v>
      </c>
    </row>
    <row r="226" spans="1:3" x14ac:dyDescent="0.2">
      <c r="A226" s="6" t="s">
        <v>466</v>
      </c>
      <c r="B226" s="8" t="s">
        <v>19</v>
      </c>
      <c r="C226" s="6" t="s">
        <v>467</v>
      </c>
    </row>
    <row r="227" spans="1:3" x14ac:dyDescent="0.2">
      <c r="A227" s="6" t="s">
        <v>468</v>
      </c>
      <c r="B227" s="8" t="s">
        <v>40</v>
      </c>
      <c r="C227" s="6" t="s">
        <v>469</v>
      </c>
    </row>
    <row r="228" spans="1:3" x14ac:dyDescent="0.2">
      <c r="A228" s="6" t="s">
        <v>470</v>
      </c>
      <c r="B228" s="8" t="s">
        <v>19</v>
      </c>
      <c r="C228" s="6" t="s">
        <v>471</v>
      </c>
    </row>
    <row r="229" spans="1:3" x14ac:dyDescent="0.2">
      <c r="A229" s="6" t="s">
        <v>472</v>
      </c>
      <c r="B229" s="8" t="s">
        <v>53</v>
      </c>
      <c r="C229" s="6" t="s">
        <v>473</v>
      </c>
    </row>
    <row r="230" spans="1:3" x14ac:dyDescent="0.2">
      <c r="A230" s="6" t="s">
        <v>474</v>
      </c>
      <c r="B230" s="8" t="s">
        <v>53</v>
      </c>
      <c r="C230" s="6" t="s">
        <v>475</v>
      </c>
    </row>
    <row r="231" spans="1:3" x14ac:dyDescent="0.2">
      <c r="A231" s="6" t="s">
        <v>476</v>
      </c>
      <c r="B231" s="8" t="s">
        <v>19</v>
      </c>
      <c r="C231" s="6" t="s">
        <v>477</v>
      </c>
    </row>
    <row r="232" spans="1:3" x14ac:dyDescent="0.2">
      <c r="A232" s="6" t="s">
        <v>478</v>
      </c>
      <c r="B232" s="8" t="s">
        <v>19</v>
      </c>
      <c r="C232" s="6" t="s">
        <v>479</v>
      </c>
    </row>
    <row r="233" spans="1:3" x14ac:dyDescent="0.2">
      <c r="A233" s="6" t="s">
        <v>480</v>
      </c>
      <c r="B233" s="8" t="s">
        <v>40</v>
      </c>
      <c r="C233" s="6" t="s">
        <v>481</v>
      </c>
    </row>
    <row r="234" spans="1:3" x14ac:dyDescent="0.2">
      <c r="A234" s="6" t="s">
        <v>482</v>
      </c>
      <c r="B234" s="8" t="s">
        <v>40</v>
      </c>
      <c r="C234" s="6" t="s">
        <v>483</v>
      </c>
    </row>
    <row r="235" spans="1:3" x14ac:dyDescent="0.2">
      <c r="A235" s="6" t="s">
        <v>484</v>
      </c>
      <c r="B235" s="8" t="s">
        <v>40</v>
      </c>
      <c r="C235" s="6" t="s">
        <v>485</v>
      </c>
    </row>
    <row r="236" spans="1:3" x14ac:dyDescent="0.2">
      <c r="A236" s="6" t="s">
        <v>486</v>
      </c>
      <c r="B236" s="8" t="s">
        <v>40</v>
      </c>
      <c r="C236" s="6" t="s">
        <v>487</v>
      </c>
    </row>
    <row r="237" spans="1:3" x14ac:dyDescent="0.2">
      <c r="A237" s="6" t="s">
        <v>488</v>
      </c>
      <c r="B237" s="8" t="s">
        <v>40</v>
      </c>
      <c r="C237" s="6" t="s">
        <v>489</v>
      </c>
    </row>
    <row r="238" spans="1:3" x14ac:dyDescent="0.2">
      <c r="A238" s="6" t="s">
        <v>490</v>
      </c>
      <c r="B238" s="8" t="s">
        <v>40</v>
      </c>
      <c r="C238" s="6" t="s">
        <v>491</v>
      </c>
    </row>
    <row r="239" spans="1:3" x14ac:dyDescent="0.2">
      <c r="A239" s="6" t="s">
        <v>492</v>
      </c>
      <c r="B239" s="8" t="s">
        <v>40</v>
      </c>
      <c r="C239" s="6" t="s">
        <v>493</v>
      </c>
    </row>
    <row r="240" spans="1:3" x14ac:dyDescent="0.2">
      <c r="A240" s="6" t="s">
        <v>494</v>
      </c>
      <c r="B240" s="8" t="s">
        <v>53</v>
      </c>
      <c r="C240" s="6" t="s">
        <v>495</v>
      </c>
    </row>
    <row r="241" spans="1:3" x14ac:dyDescent="0.2">
      <c r="A241" s="6" t="s">
        <v>496</v>
      </c>
      <c r="B241" s="8" t="s">
        <v>214</v>
      </c>
      <c r="C241" s="6" t="s">
        <v>497</v>
      </c>
    </row>
    <row r="242" spans="1:3" x14ac:dyDescent="0.2">
      <c r="A242" s="6" t="s">
        <v>498</v>
      </c>
      <c r="B242" s="8" t="s">
        <v>53</v>
      </c>
      <c r="C242" s="6" t="s">
        <v>499</v>
      </c>
    </row>
    <row r="243" spans="1:3" x14ac:dyDescent="0.2">
      <c r="A243" s="6" t="s">
        <v>500</v>
      </c>
      <c r="B243" s="8" t="s">
        <v>53</v>
      </c>
      <c r="C243" s="6" t="s">
        <v>501</v>
      </c>
    </row>
    <row r="244" spans="1:3" x14ac:dyDescent="0.2">
      <c r="A244" s="6" t="s">
        <v>502</v>
      </c>
      <c r="B244" s="8" t="s">
        <v>53</v>
      </c>
      <c r="C244" s="6" t="s">
        <v>503</v>
      </c>
    </row>
    <row r="245" spans="1:3" x14ac:dyDescent="0.2">
      <c r="A245" s="6" t="s">
        <v>504</v>
      </c>
      <c r="B245" s="8" t="s">
        <v>319</v>
      </c>
      <c r="C245" s="6" t="s">
        <v>505</v>
      </c>
    </row>
    <row r="246" spans="1:3" x14ac:dyDescent="0.2">
      <c r="A246" s="6" t="s">
        <v>506</v>
      </c>
      <c r="B246" s="8" t="s">
        <v>255</v>
      </c>
      <c r="C246" s="6" t="s">
        <v>507</v>
      </c>
    </row>
    <row r="247" spans="1:3" x14ac:dyDescent="0.2">
      <c r="A247" s="6" t="s">
        <v>508</v>
      </c>
      <c r="B247" s="8" t="s">
        <v>255</v>
      </c>
      <c r="C247" s="6" t="s">
        <v>509</v>
      </c>
    </row>
    <row r="248" spans="1:3" x14ac:dyDescent="0.2">
      <c r="A248" s="6" t="s">
        <v>510</v>
      </c>
      <c r="B248" s="8" t="s">
        <v>40</v>
      </c>
      <c r="C248" s="6" t="s">
        <v>511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Run</vt:lpstr>
      <vt:lpstr>DailyO</vt:lpstr>
      <vt:lpstr>Figures</vt:lpstr>
      <vt:lpstr>YearlyO</vt:lpstr>
      <vt:lpstr>Location</vt:lpstr>
      <vt:lpstr>Manag</vt:lpstr>
      <vt:lpstr>Soil</vt:lpstr>
      <vt:lpstr>Crop</vt:lpstr>
      <vt:lpstr>DOY</vt:lpstr>
      <vt:lpstr>Help</vt:lpstr>
    </vt:vector>
  </TitlesOfParts>
  <Company>soltani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afshin</dc:creator>
  <cp:lastModifiedBy>Anh Quan Duong</cp:lastModifiedBy>
  <dcterms:created xsi:type="dcterms:W3CDTF">2009-02-20T09:44:29Z</dcterms:created>
  <dcterms:modified xsi:type="dcterms:W3CDTF">2026-05-23T16:23:09Z</dcterms:modified>
</cp:coreProperties>
</file>