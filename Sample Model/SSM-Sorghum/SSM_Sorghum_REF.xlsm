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a4d756fe2ebfa34/8.ProjectLinhTinh/1. icrop/Sample Model/SSM-Sorghum/"/>
    </mc:Choice>
  </mc:AlternateContent>
  <xr:revisionPtr revIDLastSave="0" documentId="8_{85C8FD06-2CF8-4DA4-9B70-9B7FBE6DBF3F}" xr6:coauthVersionLast="47" xr6:coauthVersionMax="47" xr10:uidLastSave="{00000000-0000-0000-0000-000000000000}"/>
  <bookViews>
    <workbookView xWindow="3150" yWindow="3660" windowWidth="28800" windowHeight="15390" xr2:uid="{49CAA046-0487-4B72-923A-47E4C6C72CBA}"/>
  </bookViews>
  <sheets>
    <sheet name="Run" sheetId="1" r:id="rId1"/>
    <sheet name="DailyO" sheetId="4" r:id="rId2"/>
    <sheet name="Figures" sheetId="6" r:id="rId3"/>
    <sheet name="YearlyO" sheetId="11" r:id="rId4"/>
    <sheet name="Location" sheetId="2" r:id="rId5"/>
    <sheet name="Manag" sheetId="12" r:id="rId6"/>
    <sheet name="Soil" sheetId="8" r:id="rId7"/>
    <sheet name="Crop" sheetId="5" r:id="rId8"/>
    <sheet name="DOY" sheetId="10" r:id="rId9"/>
    <sheet name="Help" sheetId="3" r:id="rId10"/>
  </sheets>
  <definedNames>
    <definedName name="Diameter">Run!#REF!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2" l="1"/>
  <c r="K2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7" authorId="0" shapeId="0" xr:uid="{F055258B-31EC-4A2B-91C9-CDF2F5946E4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This should be Row # 7.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19" authorId="0" shapeId="0" xr:uid="{3E8FB625-1DBE-4595-9BD9-D9D6AE9BD0E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9" authorId="0" shapeId="0" xr:uid="{E4A25EC3-2CB9-4082-ABBB-D67F3143619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21" authorId="0" shapeId="0" xr:uid="{78AD0E02-8293-4191-8421-29593ABE675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21" authorId="0" shapeId="0" xr:uid="{9120BE94-F265-4B4C-90C7-29BBEE50051E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42" authorId="0" shapeId="0" xr:uid="{393E4569-FEB2-46B8-B711-DC641831A93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42" authorId="0" shapeId="0" xr:uid="{E8CB4840-506C-4AED-B832-18A1809A7448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44" authorId="0" shapeId="0" xr:uid="{29E03011-A7F3-4AE9-A406-FC6CB16FF48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44" authorId="0" shapeId="0" xr:uid="{B4994C3B-D1AE-468D-B9C7-A774E5073387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65" authorId="0" shapeId="0" xr:uid="{3B5B3610-0DE8-49AA-BED3-D7CED52649F7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65" authorId="0" shapeId="0" xr:uid="{0380E9EE-10EF-45BD-A640-E91C9FB7383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67" authorId="0" shapeId="0" xr:uid="{36E7F7A5-7F89-48E5-8A56-A60C5F98E8A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67" authorId="0" shapeId="0" xr:uid="{EC7CC3DB-68BB-45B4-9435-DC7EBF71B20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88" authorId="0" shapeId="0" xr:uid="{029EDAD7-0F99-4DE8-AA4A-650BF0FAFA1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88" authorId="0" shapeId="0" xr:uid="{AF2FE610-EB87-44D7-8F74-270FF68D85E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90" authorId="0" shapeId="0" xr:uid="{73D3A8E2-6040-4448-BE16-B66787EBB0E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90" authorId="0" shapeId="0" xr:uid="{5B89BBFB-FD27-44B4-8B63-31FF9F91483F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111" authorId="0" shapeId="0" xr:uid="{49D8E640-AE45-439E-9387-088F34892B0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11" authorId="0" shapeId="0" xr:uid="{762E3420-DC39-4D56-B5C3-C13C8DC061B1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113" authorId="0" shapeId="0" xr:uid="{90141199-E175-407E-A5A2-7DEA92EED08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113" authorId="0" shapeId="0" xr:uid="{2E307E31-1588-432C-AE48-DDE41815E4B1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  <comment ref="A134" authorId="0" shapeId="0" xr:uid="{4116B143-9EAF-46C1-B10D-8E4B1B478BC6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N application scenario: 0=non-N-limited conditions, 2=N-limited conditions.</t>
        </r>
      </text>
    </comment>
    <comment ref="E134" authorId="0" shapeId="0" xr:uid="{C4735630-ACB5-4689-A3B3-BE07DA4C116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Water application scenario: 0=potential production, 1=automated irrigated, 2=rainfed, 3=fixed irrigated</t>
        </r>
      </text>
    </comment>
    <comment ref="A136" authorId="0" shapeId="0" xr:uid="{F12C548F-B8DA-4324-A6E5-8DB99FB08714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</t>
        </r>
      </text>
    </comment>
    <comment ref="E136" authorId="0" shapeId="0" xr:uid="{41ABE445-43E7-48F9-888B-ADF929F2CD85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1=DAP, 2=CBD with user-specified irrigation, 3= DOY, 4= CBD with auto-irrigation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afshin</author>
  </authors>
  <commentList>
    <comment ref="A22" authorId="0" shapeId="0" xr:uid="{14E17693-3596-4BD5-A22E-0D61A6A7908D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Sowing to emergence</t>
        </r>
      </text>
    </comment>
    <comment ref="A23" authorId="0" shapeId="0" xr:uid="{73A8FDFE-B8C5-40C2-BA10-17E5D6309C57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Emergence to end of juvenile</t>
        </r>
      </text>
    </comment>
    <comment ref="A24" authorId="0" shapeId="0" xr:uid="{42E47EB1-E681-4DAF-8227-E12FC1E9BBEB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End of juvenile to end of panicle initiation </t>
        </r>
      </text>
    </comment>
    <comment ref="A25" authorId="0" shapeId="0" xr:uid="{D9BD0458-205E-4AF7-8C69-7C290EE5AC78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End of panicle initiation to termination leaf growth</t>
        </r>
      </text>
    </comment>
    <comment ref="A26" authorId="0" shapeId="0" xr:uid="{B989E052-E0CC-48E1-B39D-F0506D0BBA87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End of leaf growth to flowering</t>
        </r>
      </text>
    </comment>
    <comment ref="A27" authorId="0" shapeId="0" xr:uid="{52187CC1-5BED-4D58-8A62-42029E41FEEA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Flowering to beginning effective seed growth</t>
        </r>
      </text>
    </comment>
    <comment ref="A28" authorId="0" shapeId="0" xr:uid="{D4182FF5-4A6A-44D9-8B1E-B6EF527D5FE1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Beginning seed growth to physiological maturity</t>
        </r>
      </text>
    </comment>
    <comment ref="A29" authorId="0" shapeId="0" xr:uid="{FC790125-9EA6-4901-B0F4-13357D14FAE9}">
      <text>
        <r>
          <rPr>
            <b/>
            <sz val="8"/>
            <color indexed="81"/>
            <rFont val="Tahoma"/>
            <family val="2"/>
          </rPr>
          <t>afshin:</t>
        </r>
        <r>
          <rPr>
            <sz val="8"/>
            <color indexed="81"/>
            <rFont val="Tahoma"/>
            <family val="2"/>
          </rPr>
          <t xml:space="preserve">
Physiological maturity to harvest maturity</t>
        </r>
      </text>
    </comment>
  </commentList>
</comments>
</file>

<file path=xl/sharedStrings.xml><?xml version="1.0" encoding="utf-8"?>
<sst xmlns="http://schemas.openxmlformats.org/spreadsheetml/2006/main" count="1435" uniqueCount="809">
  <si>
    <t>CROP:</t>
  </si>
  <si>
    <t xml:space="preserve">WSSL = </t>
  </si>
  <si>
    <t xml:space="preserve">WSSG = </t>
  </si>
  <si>
    <t xml:space="preserve">WSSD = </t>
  </si>
  <si>
    <t xml:space="preserve">TBD = </t>
  </si>
  <si>
    <t xml:space="preserve">TP1D = </t>
  </si>
  <si>
    <t xml:space="preserve">TP2D = </t>
  </si>
  <si>
    <t xml:space="preserve">TCD = </t>
  </si>
  <si>
    <t xml:space="preserve">TBRUE = </t>
  </si>
  <si>
    <t xml:space="preserve">TP1RUE = </t>
  </si>
  <si>
    <t xml:space="preserve">TP2RUE = </t>
  </si>
  <si>
    <t xml:space="preserve">TCRUE = </t>
  </si>
  <si>
    <t xml:space="preserve">KPAR = </t>
  </si>
  <si>
    <t xml:space="preserve">IRUE = </t>
  </si>
  <si>
    <t xml:space="preserve">FRTRL = </t>
  </si>
  <si>
    <t>SRAD</t>
  </si>
  <si>
    <t>TMAX</t>
  </si>
  <si>
    <t xml:space="preserve">E/ET = </t>
  </si>
  <si>
    <t>Soil albedo</t>
  </si>
  <si>
    <t>mm</t>
  </si>
  <si>
    <t>cm.cm-1</t>
  </si>
  <si>
    <t>oC</t>
  </si>
  <si>
    <t>Phenology:</t>
  </si>
  <si>
    <t xml:space="preserve">Cultivar:  </t>
  </si>
  <si>
    <t xml:space="preserve">phyl = </t>
  </si>
  <si>
    <t xml:space="preserve">PLACON = </t>
  </si>
  <si>
    <t xml:space="preserve">PLAPOW = </t>
  </si>
  <si>
    <t xml:space="preserve">SLA = </t>
  </si>
  <si>
    <t>GLAI</t>
  </si>
  <si>
    <t>DLAI</t>
  </si>
  <si>
    <t>TMP</t>
  </si>
  <si>
    <t>Growth:</t>
  </si>
  <si>
    <t>Yield:</t>
  </si>
  <si>
    <t>Layer#</t>
  </si>
  <si>
    <t>DLYER</t>
  </si>
  <si>
    <t>SAT</t>
  </si>
  <si>
    <t>DUL</t>
  </si>
  <si>
    <t>DRAINF</t>
  </si>
  <si>
    <t>MAI</t>
  </si>
  <si>
    <t>Soil water:</t>
  </si>
  <si>
    <t xml:space="preserve">GRTDP = </t>
  </si>
  <si>
    <t>-</t>
  </si>
  <si>
    <t>oC / leaf</t>
  </si>
  <si>
    <t>m2 /g</t>
  </si>
  <si>
    <t>g / MJ</t>
  </si>
  <si>
    <t>g/g</t>
  </si>
  <si>
    <t>g / m2</t>
  </si>
  <si>
    <t>g / g</t>
  </si>
  <si>
    <t xml:space="preserve">SLNG = </t>
  </si>
  <si>
    <t xml:space="preserve">SLNS = </t>
  </si>
  <si>
    <t xml:space="preserve">SNCG = </t>
  </si>
  <si>
    <t>SNCS =</t>
  </si>
  <si>
    <t xml:space="preserve">GNC = </t>
  </si>
  <si>
    <t xml:space="preserve">MXNUP = </t>
  </si>
  <si>
    <t>g m-2</t>
  </si>
  <si>
    <t>g.g-1</t>
  </si>
  <si>
    <t>g.m-2</t>
  </si>
  <si>
    <t>g.m-2.d-1</t>
  </si>
  <si>
    <t xml:space="preserve">Amount </t>
  </si>
  <si>
    <t>BDL</t>
  </si>
  <si>
    <t>NORG</t>
  </si>
  <si>
    <t>FMIN</t>
  </si>
  <si>
    <t>NO3</t>
  </si>
  <si>
    <t>NH4</t>
  </si>
  <si>
    <t>(%)</t>
  </si>
  <si>
    <t>EXTR</t>
  </si>
  <si>
    <t>%</t>
  </si>
  <si>
    <t>g.cm-3</t>
  </si>
  <si>
    <t>mg.kg-1</t>
  </si>
  <si>
    <t>ppm</t>
  </si>
  <si>
    <t>FG</t>
  </si>
  <si>
    <t>Plant N:</t>
  </si>
  <si>
    <t>Soil N:</t>
  </si>
  <si>
    <t>(-)</t>
  </si>
  <si>
    <t>Days to emergence:</t>
  </si>
  <si>
    <t>Total crop mass (g.m-2):</t>
  </si>
  <si>
    <t>Grain yield (g.m-2):</t>
  </si>
  <si>
    <t>Harvest index (%):</t>
  </si>
  <si>
    <t>Irrigation number:</t>
  </si>
  <si>
    <t xml:space="preserve">Avail. soil water at sowing (mm): </t>
  </si>
  <si>
    <t>Cum. rainfall (mm):</t>
  </si>
  <si>
    <t>Cum. irrigation (mm):</t>
  </si>
  <si>
    <t>Avail. soil water at maturity (mm):</t>
  </si>
  <si>
    <t>Cum soil evaporation (mm):</t>
  </si>
  <si>
    <t>Evapotranspiration (mm):</t>
  </si>
  <si>
    <t xml:space="preserve">Number of appl. = </t>
  </si>
  <si>
    <t>Days to beg. seed growth:</t>
  </si>
  <si>
    <t>Days to termin. seed growth:</t>
  </si>
  <si>
    <t>Cum. runoff (mm):</t>
  </si>
  <si>
    <t>Cum. transpiration (mm):</t>
  </si>
  <si>
    <t>Cum. drainage (mm):</t>
  </si>
  <si>
    <t xml:space="preserve">Urea - surf. Appl. </t>
  </si>
  <si>
    <t>Humid</t>
  </si>
  <si>
    <t>Subhumid</t>
  </si>
  <si>
    <t>Dry</t>
  </si>
  <si>
    <t>Urea - Incorporated</t>
  </si>
  <si>
    <t>(NH4)2SO4 - suf. Appl.</t>
  </si>
  <si>
    <t>NH4NO3 - suf. Appl.</t>
  </si>
  <si>
    <t>NH4NO3 - incorp.</t>
  </si>
  <si>
    <t>Anhydrous NH3</t>
  </si>
  <si>
    <t>(NH4)2SO4 - incorp.</t>
  </si>
  <si>
    <t>Frac. Vol.</t>
  </si>
  <si>
    <t>Meisinger &amp; Randall, 1991</t>
  </si>
  <si>
    <t>NGRN</t>
  </si>
  <si>
    <t>Gorgan</t>
  </si>
  <si>
    <t xml:space="preserve">nitrogen = </t>
  </si>
  <si>
    <t xml:space="preserve">GCC = </t>
  </si>
  <si>
    <t xml:space="preserve">iDEPORT = </t>
  </si>
  <si>
    <t>Pa</t>
  </si>
  <si>
    <t>water = 0   for potential production</t>
  </si>
  <si>
    <t>water = 1   for irrigated water-limited conditions</t>
  </si>
  <si>
    <t>water = 2   for rainfed water-limited conditions</t>
  </si>
  <si>
    <t>nitrogen = 0   for non-N-limited conditions</t>
  </si>
  <si>
    <t>Frac. Vol:</t>
  </si>
  <si>
    <t>(g/m2)</t>
  </si>
  <si>
    <t xml:space="preserve">FLF1A = </t>
  </si>
  <si>
    <t>FLF1B =</t>
  </si>
  <si>
    <t xml:space="preserve">WTOPL = </t>
  </si>
  <si>
    <t xml:space="preserve">FLF2 = </t>
  </si>
  <si>
    <t xml:space="preserve">MEED = </t>
  </si>
  <si>
    <t xml:space="preserve">TEC = </t>
  </si>
  <si>
    <t>Variable</t>
  </si>
  <si>
    <t>Unit</t>
  </si>
  <si>
    <t>Definition</t>
  </si>
  <si>
    <t>ALBEDO</t>
  </si>
  <si>
    <t>Suface albedo</t>
  </si>
  <si>
    <t xml:space="preserve">ATSW </t>
  </si>
  <si>
    <t>Actual transpirable soil water</t>
  </si>
  <si>
    <t xml:space="preserve">ATSW1 </t>
  </si>
  <si>
    <t>Actual transpirable soil water at top layer</t>
  </si>
  <si>
    <t xml:space="preserve">BD1 </t>
  </si>
  <si>
    <t>g cm-3</t>
  </si>
  <si>
    <t xml:space="preserve">Bulk density of top layer soil </t>
  </si>
  <si>
    <t xml:space="preserve">BSGDM </t>
  </si>
  <si>
    <t>Crop above-ground dry matter at beginning seed growth</t>
  </si>
  <si>
    <t xml:space="preserve">BSGLAI </t>
  </si>
  <si>
    <t>m2 m-2</t>
  </si>
  <si>
    <t>Leaf area index at beginning seed growth</t>
  </si>
  <si>
    <t>CALB</t>
  </si>
  <si>
    <t>Crop albedo</t>
  </si>
  <si>
    <t xml:space="preserve">CE </t>
  </si>
  <si>
    <t xml:space="preserve">Cumulative soil evaporation </t>
  </si>
  <si>
    <t xml:space="preserve">CIRGW </t>
  </si>
  <si>
    <t xml:space="preserve">Cumulative irrigation water </t>
  </si>
  <si>
    <t xml:space="preserve">CLL </t>
  </si>
  <si>
    <t>mm mm-1</t>
  </si>
  <si>
    <t xml:space="preserve">Volumetric soil water content at crop lower limit </t>
  </si>
  <si>
    <t xml:space="preserve">CN </t>
  </si>
  <si>
    <t xml:space="preserve">Curve number </t>
  </si>
  <si>
    <t xml:space="preserve">CNDNIT </t>
  </si>
  <si>
    <t>g N m-2</t>
  </si>
  <si>
    <t xml:space="preserve">Accumulated nitrogen denitrification </t>
  </si>
  <si>
    <t xml:space="preserve">CNFERT </t>
  </si>
  <si>
    <t xml:space="preserve">Accumulated nitrogen fertilizer applied </t>
  </si>
  <si>
    <t xml:space="preserve">CNLEACH </t>
  </si>
  <si>
    <t xml:space="preserve">Accumulated nitrogen leached </t>
  </si>
  <si>
    <t xml:space="preserve">CNMIN </t>
  </si>
  <si>
    <t xml:space="preserve">Accumulated nitrogen mineralization </t>
  </si>
  <si>
    <t xml:space="preserve">CNUP </t>
  </si>
  <si>
    <t xml:space="preserve">Accumulated nitrogen in above-ground crop organs </t>
  </si>
  <si>
    <t xml:space="preserve">CNVOL </t>
  </si>
  <si>
    <t xml:space="preserve">Accumulated nitrogen volatilization </t>
  </si>
  <si>
    <t xml:space="preserve">CRAIN </t>
  </si>
  <si>
    <t xml:space="preserve">Cumulative rainfall </t>
  </si>
  <si>
    <t xml:space="preserve">CRUNOF </t>
  </si>
  <si>
    <t xml:space="preserve">Cumulative run-off </t>
  </si>
  <si>
    <t xml:space="preserve">CTR </t>
  </si>
  <si>
    <t xml:space="preserve">Cumulative transpiration </t>
  </si>
  <si>
    <t xml:space="preserve">DAP </t>
  </si>
  <si>
    <t xml:space="preserve">Days after planting </t>
  </si>
  <si>
    <t xml:space="preserve">DAPNF </t>
  </si>
  <si>
    <t xml:space="preserve">Days after planting when N fertilizer is applied </t>
  </si>
  <si>
    <t xml:space="preserve">DDMP </t>
  </si>
  <si>
    <t>g m-2 d-1</t>
  </si>
  <si>
    <t>Daily dry matter production</t>
  </si>
  <si>
    <t xml:space="preserve">DEP1 </t>
  </si>
  <si>
    <t xml:space="preserve">Depth of top layer in calculation of water and nitrogen dynamics in soil </t>
  </si>
  <si>
    <t xml:space="preserve">DEPORT </t>
  </si>
  <si>
    <t>Current depth of roots</t>
  </si>
  <si>
    <t>m2 m-2 d-1</t>
  </si>
  <si>
    <t>Daily decrease (death) in leaf area index</t>
  </si>
  <si>
    <t xml:space="preserve">DOY </t>
  </si>
  <si>
    <t xml:space="preserve">Day of year </t>
  </si>
  <si>
    <t xml:space="preserve">DRAIN </t>
  </si>
  <si>
    <t xml:space="preserve">Amount of drainge water from soil profile </t>
  </si>
  <si>
    <t xml:space="preserve">DRAIN1 </t>
  </si>
  <si>
    <t xml:space="preserve">Amount of drainge water from top layer </t>
  </si>
  <si>
    <t xml:space="preserve">DRAINF </t>
  </si>
  <si>
    <t xml:space="preserve">Drainage factor </t>
  </si>
  <si>
    <t xml:space="preserve">DTBSG </t>
  </si>
  <si>
    <t>d</t>
  </si>
  <si>
    <t xml:space="preserve">Days to beginning seed growth </t>
  </si>
  <si>
    <t xml:space="preserve">DTEMR </t>
  </si>
  <si>
    <t xml:space="preserve">Days to emergence </t>
  </si>
  <si>
    <t xml:space="preserve">DTMAT </t>
  </si>
  <si>
    <t xml:space="preserve">Days to maturity </t>
  </si>
  <si>
    <t xml:space="preserve">DTTLM </t>
  </si>
  <si>
    <t xml:space="preserve">Days to termination leaf growth on mainstem </t>
  </si>
  <si>
    <t xml:space="preserve">DTTSG </t>
  </si>
  <si>
    <t xml:space="preserve">Days to termination seed growth </t>
  </si>
  <si>
    <t xml:space="preserve">DUL </t>
  </si>
  <si>
    <t xml:space="preserve">Volumetric soil water content at drained upper limit </t>
  </si>
  <si>
    <t xml:space="preserve">DYSE </t>
  </si>
  <si>
    <t xml:space="preserve">d </t>
  </si>
  <si>
    <t>Days since last rain and / or irrigation that has wetted soil top layer</t>
  </si>
  <si>
    <t xml:space="preserve">EEQ </t>
  </si>
  <si>
    <t>mm d-1</t>
  </si>
  <si>
    <t xml:space="preserve">Evaporation equivalent </t>
  </si>
  <si>
    <t xml:space="preserve">EOS </t>
  </si>
  <si>
    <t xml:space="preserve">Potential soil evaporation </t>
  </si>
  <si>
    <t xml:space="preserve">EOSMIN </t>
  </si>
  <si>
    <t xml:space="preserve">Minimum soil evaporation </t>
  </si>
  <si>
    <t>ETLAI</t>
  </si>
  <si>
    <t xml:space="preserve">Leaf area index used in calculation of evapotranspiration </t>
  </si>
  <si>
    <t xml:space="preserve">EWAT </t>
  </si>
  <si>
    <t xml:space="preserve">mm </t>
  </si>
  <si>
    <t xml:space="preserve">Amount of water become available for crop use due to root growth </t>
  </si>
  <si>
    <t xml:space="preserve">EXTR </t>
  </si>
  <si>
    <t xml:space="preserve">Volumetric soil water content available for extraction by crop roots </t>
  </si>
  <si>
    <t xml:space="preserve">FG </t>
  </si>
  <si>
    <t xml:space="preserve">Fraction coarse material in soil </t>
  </si>
  <si>
    <t xml:space="preserve">FINT </t>
  </si>
  <si>
    <t>Fraction intercepted radiation (PAR)</t>
  </si>
  <si>
    <t xml:space="preserve">FLF1A </t>
  </si>
  <si>
    <t>g g-1</t>
  </si>
  <si>
    <t>Partitioning coefficient to leaves during main phase of leaf area development at lower levels of total crop mass</t>
  </si>
  <si>
    <t xml:space="preserve">FLF1B </t>
  </si>
  <si>
    <t>Partitioning coefficient to leaves during main phase of leaf area development at higher levels of total crop mass</t>
  </si>
  <si>
    <t xml:space="preserve">FLF2 </t>
  </si>
  <si>
    <t>Partitioning coefficient to leaves from termination leaf growth on mainstem to beginning seed growth</t>
  </si>
  <si>
    <t xml:space="preserve">Fraction soil organic nitrogen available for mineralization </t>
  </si>
  <si>
    <t xml:space="preserve">FN </t>
  </si>
  <si>
    <t>#</t>
  </si>
  <si>
    <t>Number of N fertilizer application</t>
  </si>
  <si>
    <t xml:space="preserve">FROOT1 </t>
  </si>
  <si>
    <t>Fraction of soil top layer exploited by crop roots</t>
  </si>
  <si>
    <t>FRTRL</t>
  </si>
  <si>
    <t>Fraction crop mass at beginning seed growth which is translocateble to grains</t>
  </si>
  <si>
    <t xml:space="preserve">FTSW </t>
  </si>
  <si>
    <t xml:space="preserve">Fraction transpirable soil water </t>
  </si>
  <si>
    <t xml:space="preserve">FTSW1 </t>
  </si>
  <si>
    <t xml:space="preserve">Fraction transpirable soil water at top layer </t>
  </si>
  <si>
    <t>GCC</t>
  </si>
  <si>
    <t>Grain conversion coefficient</t>
  </si>
  <si>
    <t>Daily increase (growth) in leaf area index</t>
  </si>
  <si>
    <t xml:space="preserve">GLF </t>
  </si>
  <si>
    <t xml:space="preserve">Daily increase (growth) in leaf weight </t>
  </si>
  <si>
    <t xml:space="preserve">GNC </t>
  </si>
  <si>
    <t xml:space="preserve">Grain nitrogen concentration </t>
  </si>
  <si>
    <t xml:space="preserve">GRTD </t>
  </si>
  <si>
    <t xml:space="preserve">Daily increase (growth) in root depth </t>
  </si>
  <si>
    <t xml:space="preserve">GRTDP </t>
  </si>
  <si>
    <t xml:space="preserve">Potential daily increase (growth) in root depth </t>
  </si>
  <si>
    <t xml:space="preserve">GST </t>
  </si>
  <si>
    <t xml:space="preserve">Daily increase (growth) in stem dry weight </t>
  </si>
  <si>
    <t>INGRN</t>
  </si>
  <si>
    <t>g N m-2 d-1</t>
  </si>
  <si>
    <t xml:space="preserve">Daily rate of nitrogen accumulation in grains </t>
  </si>
  <si>
    <t xml:space="preserve">iniDMD </t>
  </si>
  <si>
    <t xml:space="preserve">A variable that indicates if dry matter distribution submodel has been initialized (1) or not (0) </t>
  </si>
  <si>
    <t xml:space="preserve">iniDMP </t>
  </si>
  <si>
    <t xml:space="preserve">A variable that indicates if dry matter production submodel has been initialized (1) or not (0) </t>
  </si>
  <si>
    <t xml:space="preserve">iniLAI </t>
  </si>
  <si>
    <t xml:space="preserve">A variable that indicates if crop LAI submodel has been initialized (1) or not (0) </t>
  </si>
  <si>
    <t xml:space="preserve">iniPheno </t>
  </si>
  <si>
    <t xml:space="preserve">A variable that indicates if phenology submodel has been initialized (1) or not (0) </t>
  </si>
  <si>
    <t>iniPNB</t>
  </si>
  <si>
    <t xml:space="preserve">A variable that indicates if plant nitrogen budget submodel has been initialized (1) or not (0) </t>
  </si>
  <si>
    <t>iniSNB</t>
  </si>
  <si>
    <t xml:space="preserve">A variable that indicates if soil nitrogen balance submodel has been initialized (1) or not (0) </t>
  </si>
  <si>
    <t xml:space="preserve">iniSW </t>
  </si>
  <si>
    <t xml:space="preserve">A variable that indicates if soil water submodel has been initialized (1) or not (0) </t>
  </si>
  <si>
    <t xml:space="preserve">INLF </t>
  </si>
  <si>
    <t xml:space="preserve">Daily rate of nitrogen accumulation in leaves </t>
  </si>
  <si>
    <t xml:space="preserve">INODE </t>
  </si>
  <si>
    <t># d-1</t>
  </si>
  <si>
    <t xml:space="preserve">Daily increase in mainstem node number </t>
  </si>
  <si>
    <t xml:space="preserve">INSOL </t>
  </si>
  <si>
    <t xml:space="preserve">Initial soil nitrogen in soil solution </t>
  </si>
  <si>
    <t xml:space="preserve">INST </t>
  </si>
  <si>
    <t xml:space="preserve">Daily rate of nitrogen accumulation in stems  </t>
  </si>
  <si>
    <t xml:space="preserve">IPATSW </t>
  </si>
  <si>
    <t xml:space="preserve">Actual transpirable soil water at sowing time </t>
  </si>
  <si>
    <t xml:space="preserve">IRGLVL </t>
  </si>
  <si>
    <t>FTSW when the crop needs to be irrigated; irrigation threshold level</t>
  </si>
  <si>
    <t xml:space="preserve">IRGNO </t>
  </si>
  <si>
    <t xml:space="preserve">Irrigation number </t>
  </si>
  <si>
    <t xml:space="preserve">IRGW </t>
  </si>
  <si>
    <t xml:space="preserve">Irrigation water </t>
  </si>
  <si>
    <t xml:space="preserve">IRUE </t>
  </si>
  <si>
    <t>g MJ-1</t>
  </si>
  <si>
    <t xml:space="preserve">Radiation use efficiency under optimal growth conditions </t>
  </si>
  <si>
    <t xml:space="preserve">KDNIT </t>
  </si>
  <si>
    <t>d-1</t>
  </si>
  <si>
    <t>A coefficient indicating soil temperature effect on nitrogen denitrification</t>
  </si>
  <si>
    <t xml:space="preserve">KET </t>
  </si>
  <si>
    <t xml:space="preserve">Extinction coefficient for golbal solar radiation which is used in calculation of evapotranspiration </t>
  </si>
  <si>
    <t xml:space="preserve">KN </t>
  </si>
  <si>
    <t xml:space="preserve">A coefficient indicating soil temperature effect on nitrogen mineralization </t>
  </si>
  <si>
    <t xml:space="preserve">KNMIN </t>
  </si>
  <si>
    <t xml:space="preserve">Exponent for calculation of nitrogen mineralization </t>
  </si>
  <si>
    <t xml:space="preserve">KPAR </t>
  </si>
  <si>
    <t>Extinction coefficient for photosyntheticaly active radiation (PAR)</t>
  </si>
  <si>
    <t xml:space="preserve">LAI </t>
  </si>
  <si>
    <t xml:space="preserve">Leaf area index </t>
  </si>
  <si>
    <t xml:space="preserve">MAI </t>
  </si>
  <si>
    <t xml:space="preserve">Soil moisture availability index (0-1) in soil profile </t>
  </si>
  <si>
    <t xml:space="preserve">MAI1 </t>
  </si>
  <si>
    <t xml:space="preserve">Soil moisture availability index (0-1) in top-lyer </t>
  </si>
  <si>
    <t xml:space="preserve">MEED </t>
  </si>
  <si>
    <t>Maximum effective depth of water extraction from soil by roots</t>
  </si>
  <si>
    <t xml:space="preserve">MNORG </t>
  </si>
  <si>
    <t xml:space="preserve">Amount of soil organic nitrogen in top layer available for mineralization </t>
  </si>
  <si>
    <t xml:space="preserve">MSNN </t>
  </si>
  <si>
    <t xml:space="preserve">Mainstem node number </t>
  </si>
  <si>
    <t xml:space="preserve">MXLAI </t>
  </si>
  <si>
    <t xml:space="preserve">Maximum leaf area index </t>
  </si>
  <si>
    <t xml:space="preserve">MXNUP </t>
  </si>
  <si>
    <t xml:space="preserve">Maximum uptake (fixation) rate of nitrogen </t>
  </si>
  <si>
    <t xml:space="preserve">NCON </t>
  </si>
  <si>
    <t>g N g-1</t>
  </si>
  <si>
    <t xml:space="preserve">Nitrogen concentration in soil solution </t>
  </si>
  <si>
    <t xml:space="preserve">NDNIT </t>
  </si>
  <si>
    <t xml:space="preserve">Daily rate of nitrogen denitrification </t>
  </si>
  <si>
    <t xml:space="preserve">NFERT </t>
  </si>
  <si>
    <t xml:space="preserve">Amount of N fertilizer </t>
  </si>
  <si>
    <t>NFERTI</t>
  </si>
  <si>
    <t xml:space="preserve">Accumulated nitrogen in grains </t>
  </si>
  <si>
    <t xml:space="preserve">NH4 </t>
  </si>
  <si>
    <t xml:space="preserve">Amount of nitrogen in NH4 form in soil top layer </t>
  </si>
  <si>
    <t xml:space="preserve">nitrogen </t>
  </si>
  <si>
    <t>A variable that specifies nitrogen simulation: 0 for non-N-limited conditions, 1 for legumes N-limited conditions, and 2 for non-legumes N-limited conditions</t>
  </si>
  <si>
    <t xml:space="preserve">NLEACH </t>
  </si>
  <si>
    <t xml:space="preserve">Daily rate of nitrogen leached from the top layer </t>
  </si>
  <si>
    <t xml:space="preserve">NLF </t>
  </si>
  <si>
    <t xml:space="preserve">Accumulated nitrogen in leaves  </t>
  </si>
  <si>
    <t xml:space="preserve">NMIN </t>
  </si>
  <si>
    <t xml:space="preserve">Daily rate of soil nitrogen mineralization </t>
  </si>
  <si>
    <t xml:space="preserve">NO3 </t>
  </si>
  <si>
    <t xml:space="preserve">Amount of nitrogen in NO3 from in soil top layer </t>
  </si>
  <si>
    <t xml:space="preserve">NORG </t>
  </si>
  <si>
    <t xml:space="preserve">Amount of soil organic nitrogen in top layer </t>
  </si>
  <si>
    <t>NORGP</t>
  </si>
  <si>
    <t xml:space="preserve">Percentage soil organic nitrogen </t>
  </si>
  <si>
    <t xml:space="preserve">NSOL </t>
  </si>
  <si>
    <t xml:space="preserve">Total soil nitrogen in soil solution </t>
  </si>
  <si>
    <t xml:space="preserve">NST </t>
  </si>
  <si>
    <t xml:space="preserve">Accumulated nitrogen in stems </t>
  </si>
  <si>
    <t xml:space="preserve">NSTDF </t>
  </si>
  <si>
    <t xml:space="preserve">Amount of nitrogen required to bring stem nitrogen concentration to its target concentration </t>
  </si>
  <si>
    <t xml:space="preserve">NUP </t>
  </si>
  <si>
    <t>Daily rate of nitrogen accumulation in crop above-ground organs</t>
  </si>
  <si>
    <t xml:space="preserve">NVOL </t>
  </si>
  <si>
    <t xml:space="preserve">PDEN </t>
  </si>
  <si>
    <t># m-2</t>
  </si>
  <si>
    <t>Plant density</t>
  </si>
  <si>
    <t>pdoy</t>
  </si>
  <si>
    <t>Day of year (1-365) when crop is sown</t>
  </si>
  <si>
    <t xml:space="preserve">PET </t>
  </si>
  <si>
    <t xml:space="preserve">Potential evapotranspiration </t>
  </si>
  <si>
    <t xml:space="preserve">PHYL </t>
  </si>
  <si>
    <t xml:space="preserve">oC per leaf </t>
  </si>
  <si>
    <t xml:space="preserve">Phyllochron </t>
  </si>
  <si>
    <t xml:space="preserve">PLA1 </t>
  </si>
  <si>
    <t>cm2 per plant</t>
  </si>
  <si>
    <t xml:space="preserve">Plant leaf area yesterday </t>
  </si>
  <si>
    <t xml:space="preserve">PLA2 </t>
  </si>
  <si>
    <t>Plant leaf area today</t>
  </si>
  <si>
    <t xml:space="preserve">PLACON </t>
  </si>
  <si>
    <t xml:space="preserve">A coefficient (constant) in power relationship between plant leaf area and mainstem node number </t>
  </si>
  <si>
    <t xml:space="preserve">PLAPOW </t>
  </si>
  <si>
    <t xml:space="preserve">A coefficient (exponent) in power relationship between plant leaf area and mainstem node number </t>
  </si>
  <si>
    <t>pyear</t>
  </si>
  <si>
    <t>Year of sowing</t>
  </si>
  <si>
    <t xml:space="preserve">RAIN </t>
  </si>
  <si>
    <t xml:space="preserve">Daily rainfall </t>
  </si>
  <si>
    <t xml:space="preserve">RN </t>
  </si>
  <si>
    <t xml:space="preserve">A coefficient indicating soil moisture effect on nitrogen mineralization </t>
  </si>
  <si>
    <t xml:space="preserve">RUE </t>
  </si>
  <si>
    <t>Radiation use efficiency adjusted for temperature and water stress</t>
  </si>
  <si>
    <t xml:space="preserve">RUNOF </t>
  </si>
  <si>
    <t xml:space="preserve">Daily run-off </t>
  </si>
  <si>
    <t xml:space="preserve">S </t>
  </si>
  <si>
    <t xml:space="preserve">Soil retention parameter in calculation of run-off </t>
  </si>
  <si>
    <t xml:space="preserve">SALB </t>
  </si>
  <si>
    <t xml:space="preserve">SAT </t>
  </si>
  <si>
    <t>Volumetric soil water content at saturation</t>
  </si>
  <si>
    <t xml:space="preserve">SEVP </t>
  </si>
  <si>
    <t xml:space="preserve">Actual soil evaporation </t>
  </si>
  <si>
    <t xml:space="preserve">SGR </t>
  </si>
  <si>
    <t xml:space="preserve">Daily increase in seeds (grains) dry matter </t>
  </si>
  <si>
    <t xml:space="preserve">SLA </t>
  </si>
  <si>
    <t>m2 g-1</t>
  </si>
  <si>
    <t xml:space="preserve">Specific leaf area </t>
  </si>
  <si>
    <t xml:space="preserve">SLNG </t>
  </si>
  <si>
    <t>Specific leaf nitrogen in green leaves (target)</t>
  </si>
  <si>
    <t xml:space="preserve">SLNS </t>
  </si>
  <si>
    <t>Specific leaf nitrogen in senesced leaves (minimum)</t>
  </si>
  <si>
    <t xml:space="preserve">SNAVL </t>
  </si>
  <si>
    <t xml:space="preserve">Soil available nitrogen </t>
  </si>
  <si>
    <t>SNCG</t>
  </si>
  <si>
    <t xml:space="preserve">Stem nitrogen concentration in green stems (target) </t>
  </si>
  <si>
    <t xml:space="preserve">SNCS </t>
  </si>
  <si>
    <t xml:space="preserve">Stem nitrogen concentration in senesced stems (minimum) </t>
  </si>
  <si>
    <t>SOILM</t>
  </si>
  <si>
    <t xml:space="preserve">Soil weight in top layer </t>
  </si>
  <si>
    <t xml:space="preserve">SOLDEP </t>
  </si>
  <si>
    <t xml:space="preserve">Soil depth </t>
  </si>
  <si>
    <t>MJ m-2 d-1</t>
  </si>
  <si>
    <t xml:space="preserve">Solar radiation </t>
  </si>
  <si>
    <t xml:space="preserve">SWER </t>
  </si>
  <si>
    <t>TBD</t>
  </si>
  <si>
    <t xml:space="preserve">oC  </t>
  </si>
  <si>
    <t xml:space="preserve">Base temperature for development </t>
  </si>
  <si>
    <t>TBRUE</t>
  </si>
  <si>
    <t xml:space="preserve">Base temperature for dry matter production </t>
  </si>
  <si>
    <t>TCD</t>
  </si>
  <si>
    <t xml:space="preserve">Ceiling temperature for development </t>
  </si>
  <si>
    <t xml:space="preserve">TCFRUE </t>
  </si>
  <si>
    <t xml:space="preserve">A correction factor of radiation use efficiency for daily temperature </t>
  </si>
  <si>
    <t xml:space="preserve">TCRUE </t>
  </si>
  <si>
    <t xml:space="preserve">Ceiling temperature for dry matter production </t>
  </si>
  <si>
    <t xml:space="preserve">TD </t>
  </si>
  <si>
    <t>Air temperature during the day</t>
  </si>
  <si>
    <t xml:space="preserve">TEC </t>
  </si>
  <si>
    <t xml:space="preserve">Transpiration efficiency coefficient </t>
  </si>
  <si>
    <t xml:space="preserve">tempfun </t>
  </si>
  <si>
    <t xml:space="preserve">Temperature function (0-1) for development </t>
  </si>
  <si>
    <t xml:space="preserve">Maximum temperature </t>
  </si>
  <si>
    <t xml:space="preserve">TMIN </t>
  </si>
  <si>
    <t xml:space="preserve">Minimum temperature </t>
  </si>
  <si>
    <t xml:space="preserve">Average daily temperature </t>
  </si>
  <si>
    <t xml:space="preserve">TMPS </t>
  </si>
  <si>
    <t xml:space="preserve">Soil temperature </t>
  </si>
  <si>
    <t>TP1D</t>
  </si>
  <si>
    <t xml:space="preserve">Lower optimum temperature for development </t>
  </si>
  <si>
    <t>TP1RUE</t>
  </si>
  <si>
    <t xml:space="preserve">Lower optimum temperature for dry matter production </t>
  </si>
  <si>
    <t>TP2D</t>
  </si>
  <si>
    <t xml:space="preserve">Upper optimum temperature for development </t>
  </si>
  <si>
    <t>TP2RUE</t>
  </si>
  <si>
    <t xml:space="preserve">Upper optimum temperature for dry matter production </t>
  </si>
  <si>
    <t xml:space="preserve">TR </t>
  </si>
  <si>
    <t xml:space="preserve">Daily transpiration </t>
  </si>
  <si>
    <t xml:space="preserve">TR1 </t>
  </si>
  <si>
    <t xml:space="preserve">Daily transpirational water that is uptaken from top layer </t>
  </si>
  <si>
    <t xml:space="preserve">TRANSL </t>
  </si>
  <si>
    <t>Daily rate of dry matter translocation from vegetative organs to grains</t>
  </si>
  <si>
    <t xml:space="preserve">TRLDM </t>
  </si>
  <si>
    <t xml:space="preserve">Total crop mass at beginning seed growth which is translocateable to grains </t>
  </si>
  <si>
    <t>ttSOWEMR</t>
  </si>
  <si>
    <t xml:space="preserve">TTSW </t>
  </si>
  <si>
    <t xml:space="preserve">Total transpirable soil water </t>
  </si>
  <si>
    <t xml:space="preserve">TTSW1 </t>
  </si>
  <si>
    <t xml:space="preserve">Total transpirable soil water at top layer </t>
  </si>
  <si>
    <t xml:space="preserve">VOLF </t>
  </si>
  <si>
    <t>VOLFI</t>
  </si>
  <si>
    <t xml:space="preserve">Volatilization factor for a N application </t>
  </si>
  <si>
    <t xml:space="preserve">VPD </t>
  </si>
  <si>
    <t>kPa</t>
  </si>
  <si>
    <t xml:space="preserve">Vapor pressure deficit </t>
  </si>
  <si>
    <t xml:space="preserve">VPDF </t>
  </si>
  <si>
    <t>A coefficient to calculate VPD; 0.65 for humid and subhumid climates and 0.75 for arid and semi-arid climates</t>
  </si>
  <si>
    <t xml:space="preserve">VPTMAX </t>
  </si>
  <si>
    <t xml:space="preserve">Air vapor pressure at maximum temperature </t>
  </si>
  <si>
    <t>VPTMIN</t>
  </si>
  <si>
    <t xml:space="preserve">Air vapor pressure at minimum temperature </t>
  </si>
  <si>
    <t xml:space="preserve">WAT1 </t>
  </si>
  <si>
    <t xml:space="preserve">Amount of soil water in top layer </t>
  </si>
  <si>
    <t xml:space="preserve">water </t>
  </si>
  <si>
    <t>A variable that specifies soil water simulation: 0 for potential production, 1 for irrigated water-limited conditions, and 2 for rainfed water-limited conditions</t>
  </si>
  <si>
    <t xml:space="preserve">WETWAT </t>
  </si>
  <si>
    <t>Amount of rain and/or irrigation required to wet top layer and bring soil evaporation from stage II to I</t>
  </si>
  <si>
    <t xml:space="preserve">WGRN </t>
  </si>
  <si>
    <t xml:space="preserve">Accumulated grain dry matter </t>
  </si>
  <si>
    <t xml:space="preserve">WLF </t>
  </si>
  <si>
    <t xml:space="preserve">Accumulated leaf dry matter </t>
  </si>
  <si>
    <t xml:space="preserve">WLL1 </t>
  </si>
  <si>
    <t xml:space="preserve">Amount of soil water in top layer at lower limit </t>
  </si>
  <si>
    <t>WSAT1</t>
  </si>
  <si>
    <t xml:space="preserve">Amount of soil water in top layer at saturation </t>
  </si>
  <si>
    <t xml:space="preserve">WSFD </t>
  </si>
  <si>
    <t>Water stress factor for development</t>
  </si>
  <si>
    <t xml:space="preserve">WSFG </t>
  </si>
  <si>
    <t>Water stress factor for growth (dry matter production)</t>
  </si>
  <si>
    <t xml:space="preserve">WSFL </t>
  </si>
  <si>
    <t xml:space="preserve">Water stress factor for leaf area development </t>
  </si>
  <si>
    <t xml:space="preserve">WSSD </t>
  </si>
  <si>
    <t xml:space="preserve">A coefficient that specifies acceleration or retradation in development in response to water deficit </t>
  </si>
  <si>
    <t>WSSG</t>
  </si>
  <si>
    <t xml:space="preserve">FTSW threshold when dry matter production starts to decline </t>
  </si>
  <si>
    <t xml:space="preserve">WSSL </t>
  </si>
  <si>
    <t xml:space="preserve">FTSW threshold when leaf area development starts to decline </t>
  </si>
  <si>
    <t xml:space="preserve">WSSN </t>
  </si>
  <si>
    <t xml:space="preserve">FTSW threshold when nitrogen fixation starts to decline </t>
  </si>
  <si>
    <t xml:space="preserve">WST </t>
  </si>
  <si>
    <t xml:space="preserve">Accumulated stem dry matter </t>
  </si>
  <si>
    <t xml:space="preserve">WSTORG </t>
  </si>
  <si>
    <t>Amount of available soil water below crop root layer</t>
  </si>
  <si>
    <t xml:space="preserve">WTOP </t>
  </si>
  <si>
    <t xml:space="preserve">Accumulated crop (above-ground) dry matter </t>
  </si>
  <si>
    <t xml:space="preserve">WTOPL </t>
  </si>
  <si>
    <t>Total crop mass when leaf partitioning coefficient turns from FLF1A to FLF1B</t>
  </si>
  <si>
    <t xml:space="preserve">WVEG </t>
  </si>
  <si>
    <t xml:space="preserve">Accumulated vegetative (leaf + stem) dry matter </t>
  </si>
  <si>
    <t xml:space="preserve">XNCON </t>
  </si>
  <si>
    <t xml:space="preserve">Nitrogen concentration in soil solution used in calculation of nitrogen denitrification </t>
  </si>
  <si>
    <t xml:space="preserve">XNLF </t>
  </si>
  <si>
    <t xml:space="preserve">Daily rate of nitrogen mobilized from leaves </t>
  </si>
  <si>
    <t xml:space="preserve">XNST </t>
  </si>
  <si>
    <t xml:space="preserve">Daily rate of nitrogen mobilized from stems </t>
  </si>
  <si>
    <t xml:space="preserve">Yr </t>
  </si>
  <si>
    <t xml:space="preserve">Year  </t>
  </si>
  <si>
    <t>Non-leap year</t>
  </si>
  <si>
    <t>Jan</t>
  </si>
  <si>
    <t>Feb</t>
  </si>
  <si>
    <t>March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</si>
  <si>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</si>
  <si>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</si>
  <si>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</si>
  <si>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</si>
  <si>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</si>
  <si>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</si>
  <si>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</si>
  <si>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</si>
  <si>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</si>
  <si>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Leap year</t>
  </si>
  <si>
    <t>ALPHA</t>
  </si>
  <si>
    <t xml:space="preserve">An intermediate variable in calculation of photoperiod </t>
  </si>
  <si>
    <t>bd</t>
  </si>
  <si>
    <t>Biological day per calindar day</t>
  </si>
  <si>
    <t>bdBRP</t>
  </si>
  <si>
    <t>Biological day when response to photoperiod begins</t>
  </si>
  <si>
    <t>bdBRV</t>
  </si>
  <si>
    <t>Biological day when response to vernalization begins</t>
  </si>
  <si>
    <t>bdTRP</t>
  </si>
  <si>
    <t>Biological day when response to photoperiod terminates</t>
  </si>
  <si>
    <t>bdTRV</t>
  </si>
  <si>
    <t>Biological day when response to vernalization terminates</t>
  </si>
  <si>
    <t>CBD</t>
  </si>
  <si>
    <t>Cumulative biological days</t>
  </si>
  <si>
    <t>CEDSOC</t>
  </si>
  <si>
    <t>cpp</t>
  </si>
  <si>
    <t>h</t>
  </si>
  <si>
    <t>Critical photoperiod</t>
  </si>
  <si>
    <t>CUMVER</t>
  </si>
  <si>
    <t>Cumulative vernalization days</t>
  </si>
  <si>
    <t>DEC</t>
  </si>
  <si>
    <t>DL</t>
  </si>
  <si>
    <t>Day length</t>
  </si>
  <si>
    <t>DTBRP</t>
  </si>
  <si>
    <t xml:space="preserve">Days from sowing to beginning response to photoperiod </t>
  </si>
  <si>
    <t>DTTRP</t>
  </si>
  <si>
    <t xml:space="preserve">Days from sowing to termination response to photoperiod </t>
  </si>
  <si>
    <t>LANDA</t>
  </si>
  <si>
    <t>LAT</t>
  </si>
  <si>
    <t>o</t>
  </si>
  <si>
    <t>Latitude of location (negative for south latitudes)</t>
  </si>
  <si>
    <t>MAT</t>
  </si>
  <si>
    <t xml:space="preserve">A variable that indicate crop maturity. It has a value of 0 before crop maturity and 1 at crop maturity. </t>
  </si>
  <si>
    <t>Pi</t>
  </si>
  <si>
    <t>Pi number (3.14)</t>
  </si>
  <si>
    <t>pp</t>
  </si>
  <si>
    <t>Photoperiod duration</t>
  </si>
  <si>
    <t>ppfun</t>
  </si>
  <si>
    <t>Photoperiod function</t>
  </si>
  <si>
    <t>ppres</t>
  </si>
  <si>
    <t>Photoperiod response: 1=long day plant, 2=short day plant</t>
  </si>
  <si>
    <t>ppsen</t>
  </si>
  <si>
    <t>Photoperiod sensitivity coefficient</t>
  </si>
  <si>
    <t>RDN</t>
  </si>
  <si>
    <t>A constant to convert degree to radian</t>
  </si>
  <si>
    <t>SABH</t>
  </si>
  <si>
    <t>Sun angle below horizon</t>
  </si>
  <si>
    <t>SNOMLT</t>
  </si>
  <si>
    <t xml:space="preserve">cm </t>
  </si>
  <si>
    <t>Depth of melted snow</t>
  </si>
  <si>
    <t>SNOW</t>
  </si>
  <si>
    <t>Snow depth</t>
  </si>
  <si>
    <t>SOCRA</t>
  </si>
  <si>
    <t>TALSOC</t>
  </si>
  <si>
    <t>TBVER</t>
  </si>
  <si>
    <t>Base temperature for vernalization</t>
  </si>
  <si>
    <t>TCVER</t>
  </si>
  <si>
    <t>Ceiling temperature for vernalization</t>
  </si>
  <si>
    <t>TMAXCR</t>
  </si>
  <si>
    <t>Crowm maximum temperature</t>
  </si>
  <si>
    <t>TMINCR</t>
  </si>
  <si>
    <t xml:space="preserve">Crown minimum temperature </t>
  </si>
  <si>
    <t>TMPCR</t>
  </si>
  <si>
    <t>Crown mean temperature</t>
  </si>
  <si>
    <t>TP1VER</t>
  </si>
  <si>
    <t>Lower optimum temperature for vernalization</t>
  </si>
  <si>
    <t>TP2VER</t>
  </si>
  <si>
    <t>Upper optimum temperature for vernalization</t>
  </si>
  <si>
    <t>VDSAT</t>
  </si>
  <si>
    <t>Number of vernalization days which saturates vernalization response</t>
  </si>
  <si>
    <t>VERDAY</t>
  </si>
  <si>
    <t>d d-1</t>
  </si>
  <si>
    <t>Vernalization day per calinare day</t>
  </si>
  <si>
    <t>verfun</t>
  </si>
  <si>
    <t>Vernalization function</t>
  </si>
  <si>
    <t>vsen</t>
  </si>
  <si>
    <t>Vernalization sensitivity coefficient</t>
  </si>
  <si>
    <t>vzres</t>
  </si>
  <si>
    <t xml:space="preserve">Vernalization response: 1 if crop respond to vernalization. Otherwise it has a value of 0. </t>
  </si>
  <si>
    <t>CTU</t>
  </si>
  <si>
    <t>Cumulative temperature unit</t>
  </si>
  <si>
    <t>DELT</t>
  </si>
  <si>
    <t>mbar oK-1</t>
  </si>
  <si>
    <t xml:space="preserve">Slope of satuated vapor pressure versus temperature for daily temperature </t>
  </si>
  <si>
    <t>DNF</t>
  </si>
  <si>
    <t>Actual rate of biological nitrogen fixation</t>
  </si>
  <si>
    <t>DTU</t>
  </si>
  <si>
    <t>Daily temperature unit</t>
  </si>
  <si>
    <t>NFC</t>
  </si>
  <si>
    <t>Coefficient of biological nitrogen fixation per unit vegetative mass</t>
  </si>
  <si>
    <t>PDNF</t>
  </si>
  <si>
    <t>Potential rate of biological nitrogen fixation</t>
  </si>
  <si>
    <t>tuBNF</t>
  </si>
  <si>
    <t>Temperature unit from sowing to beginning biological nitrogen fixation (in legume crops)</t>
  </si>
  <si>
    <t xml:space="preserve">tuBRG </t>
  </si>
  <si>
    <t>Temperature unit from sowing to beginning root growth</t>
  </si>
  <si>
    <t xml:space="preserve">tuBSG </t>
  </si>
  <si>
    <t xml:space="preserve">Temperature unit from sowing to beginning seed growth </t>
  </si>
  <si>
    <t>tuBSGTSG</t>
  </si>
  <si>
    <t>Temperature unit from beginning seed growth to termination seed growth</t>
  </si>
  <si>
    <t xml:space="preserve">tuEMR </t>
  </si>
  <si>
    <t xml:space="preserve">Temperature unit from sowing to emergence </t>
  </si>
  <si>
    <t>tuEMRTLM</t>
  </si>
  <si>
    <t>Temperature unit from emergence to termination leaf growth on main stem</t>
  </si>
  <si>
    <t xml:space="preserve">tuMAT </t>
  </si>
  <si>
    <t xml:space="preserve">Temperature unit from sowing to maturity </t>
  </si>
  <si>
    <t xml:space="preserve">tuTLM </t>
  </si>
  <si>
    <t>Temperature unit from sowing to termination leaf growth on mainstem</t>
  </si>
  <si>
    <t>tuTLMBSG</t>
  </si>
  <si>
    <t xml:space="preserve">Temperature unit from termination leaf growth on mainstem to beginning seed growth </t>
  </si>
  <si>
    <t xml:space="preserve">tuTRG </t>
  </si>
  <si>
    <t>Temperature unit from sowing to termination root growth</t>
  </si>
  <si>
    <t xml:space="preserve">tuTSG </t>
  </si>
  <si>
    <t xml:space="preserve">Temperature unit from sowing to termination seed growth </t>
  </si>
  <si>
    <t>tuTSGMAT</t>
  </si>
  <si>
    <t>Temperature unit from termination seed growth to maturity</t>
  </si>
  <si>
    <t>Pdoy</t>
  </si>
  <si>
    <t xml:space="preserve">cpp = </t>
  </si>
  <si>
    <t xml:space="preserve">ppsen = </t>
  </si>
  <si>
    <t xml:space="preserve">PDHI = </t>
  </si>
  <si>
    <t xml:space="preserve">WDHI1 = </t>
  </si>
  <si>
    <t xml:space="preserve">WDHI2 = </t>
  </si>
  <si>
    <t xml:space="preserve">WDHI3 = </t>
  </si>
  <si>
    <t xml:space="preserve">WDHI4 = </t>
  </si>
  <si>
    <t>g/m2</t>
  </si>
  <si>
    <t>g/g/d</t>
  </si>
  <si>
    <t>nitrogen = 2   for N-limited conditions</t>
  </si>
  <si>
    <t>Main-stem node number:</t>
  </si>
  <si>
    <t>* For definition of abbreviations refer to 'Help' sheet</t>
  </si>
  <si>
    <t xml:space="preserve">FLDKL = </t>
  </si>
  <si>
    <t xml:space="preserve">TKILL = </t>
  </si>
  <si>
    <t xml:space="preserve">FRZLDR = </t>
  </si>
  <si>
    <t>m2/m2/oC</t>
  </si>
  <si>
    <t>DAP- or CBD-based:</t>
  </si>
  <si>
    <t>Cum. leaf N (g.m-2):</t>
  </si>
  <si>
    <t>Cum. stem N (g.m-2):</t>
  </si>
  <si>
    <t>Cum. vegetative N (g.m-2):</t>
  </si>
  <si>
    <t>Cum. grain N (g.m-2):</t>
  </si>
  <si>
    <t>Cum. total N (g.m-2):</t>
  </si>
  <si>
    <t>Soil N at sowing (g.m-2):</t>
  </si>
  <si>
    <t>Cum. fertilizer N (g.m-2):</t>
  </si>
  <si>
    <t>Cum N minaralization (g.m-2):</t>
  </si>
  <si>
    <t>Soil N at maturity (g.m-2):</t>
  </si>
  <si>
    <t>Cum. crop uptake (g.m-2):</t>
  </si>
  <si>
    <t>Cum. N volatilization (g.m-2):</t>
  </si>
  <si>
    <t>Cum. N leaching (g.m-2):</t>
  </si>
  <si>
    <t>Cum. N denitrification (g.m-2):</t>
  </si>
  <si>
    <t>DAP/CBD</t>
  </si>
  <si>
    <t>yno</t>
  </si>
  <si>
    <t>Location</t>
  </si>
  <si>
    <t>Latitute</t>
  </si>
  <si>
    <t>VPDF</t>
  </si>
  <si>
    <t>Description</t>
  </si>
  <si>
    <t>Gorgan, Golestan, Iran</t>
  </si>
  <si>
    <t>&lt;--- MangRowNo</t>
  </si>
  <si>
    <t>Code</t>
  </si>
  <si>
    <t>Description:</t>
  </si>
  <si>
    <t>FixFind</t>
  </si>
  <si>
    <t>Fyear</t>
  </si>
  <si>
    <t>PDEN</t>
  </si>
  <si>
    <t>IRGLVL</t>
  </si>
  <si>
    <t>&lt;-- SoilRowNo</t>
  </si>
  <si>
    <t>SALB</t>
  </si>
  <si>
    <t>CN2</t>
  </si>
  <si>
    <t>LDRAIN</t>
  </si>
  <si>
    <t>NLYER</t>
  </si>
  <si>
    <t>EBI0001</t>
  </si>
  <si>
    <t>E.Zeinali xxxx xxxx</t>
  </si>
  <si>
    <t>CropColNo --&gt;</t>
  </si>
  <si>
    <t>WthFirstRow</t>
  </si>
  <si>
    <t xml:space="preserve">No of scenarios = </t>
  </si>
  <si>
    <t xml:space="preserve">Scenario </t>
  </si>
  <si>
    <t>LocRowNo</t>
  </si>
  <si>
    <t>MangRowNo</t>
  </si>
  <si>
    <t>SoilRowNo</t>
  </si>
  <si>
    <t>CropColNo</t>
  </si>
  <si>
    <t>INPUTS:</t>
  </si>
  <si>
    <t>&lt;-- LocRowNo</t>
  </si>
  <si>
    <r>
      <t>SUMMARY OUTPUTS (</t>
    </r>
    <r>
      <rPr>
        <b/>
        <u/>
        <sz val="14"/>
        <color indexed="10"/>
        <rFont val="Arial"/>
        <family val="2"/>
      </rPr>
      <t>for when no of scenarios=1 &amp; no of years of simulation =1</t>
    </r>
    <r>
      <rPr>
        <b/>
        <sz val="14"/>
        <rFont val="Arial"/>
        <family val="2"/>
      </rPr>
      <t>):</t>
    </r>
  </si>
  <si>
    <t>Weather File Path &amp; Name</t>
  </si>
  <si>
    <t>mm/bd</t>
  </si>
  <si>
    <t>U</t>
  </si>
  <si>
    <t>bdSOWEMR</t>
  </si>
  <si>
    <t>bdPMHM</t>
  </si>
  <si>
    <t>Days to anthesis:</t>
  </si>
  <si>
    <t>Days to physiological maturity:</t>
  </si>
  <si>
    <t>Days to harvest maturity:</t>
  </si>
  <si>
    <t xml:space="preserve">water = </t>
  </si>
  <si>
    <t>DAP-, CBD- or DOY-based:</t>
  </si>
  <si>
    <t>DAP/CBD/DOY</t>
  </si>
  <si>
    <t>Amount</t>
  </si>
  <si>
    <t>(mm)</t>
  </si>
  <si>
    <t xml:space="preserve">(-) </t>
  </si>
  <si>
    <t>No</t>
  </si>
  <si>
    <t xml:space="preserve">Number of irrig. = </t>
  </si>
  <si>
    <t>water = 3   for fixed irrigation at defined time(s)</t>
  </si>
  <si>
    <t>LAI at anthesis:</t>
  </si>
  <si>
    <t>Crop mass at anthesis (g.m-2):</t>
  </si>
  <si>
    <t>sName</t>
  </si>
  <si>
    <t>Manag</t>
  </si>
  <si>
    <t>Soil</t>
  </si>
  <si>
    <t>Crop</t>
  </si>
  <si>
    <t>Pyear</t>
  </si>
  <si>
    <t>dtEMR</t>
  </si>
  <si>
    <t>dtANT</t>
  </si>
  <si>
    <t>dtBSG</t>
  </si>
  <si>
    <t>dtTSG</t>
  </si>
  <si>
    <t>dtPM</t>
  </si>
  <si>
    <t>dtMAT</t>
  </si>
  <si>
    <t>ANTLAI</t>
  </si>
  <si>
    <t>ANTDM</t>
  </si>
  <si>
    <t>WTOP</t>
  </si>
  <si>
    <t>WGRN</t>
  </si>
  <si>
    <t>HI</t>
  </si>
  <si>
    <t>IPASW</t>
  </si>
  <si>
    <t>CRAIN</t>
  </si>
  <si>
    <t>CIRGW</t>
  </si>
  <si>
    <t>IRGNO</t>
  </si>
  <si>
    <t>ATSWSL</t>
  </si>
  <si>
    <t>CRUNOF</t>
  </si>
  <si>
    <t>CE</t>
  </si>
  <si>
    <t>CTR</t>
  </si>
  <si>
    <t>CDRAIN</t>
  </si>
  <si>
    <t>ET</t>
  </si>
  <si>
    <t>NLF</t>
  </si>
  <si>
    <t>NST</t>
  </si>
  <si>
    <t>NVEG</t>
  </si>
  <si>
    <t>CNUP</t>
  </si>
  <si>
    <t>INSOL</t>
  </si>
  <si>
    <t>CNFERT</t>
  </si>
  <si>
    <t>CNMIN</t>
  </si>
  <si>
    <t>CNSOL</t>
  </si>
  <si>
    <t>CNVOL</t>
  </si>
  <si>
    <t>CNLEACH</t>
  </si>
  <si>
    <t>CNDNIT</t>
  </si>
  <si>
    <t>Daneshgah</t>
  </si>
  <si>
    <t>Danesh</t>
  </si>
  <si>
    <t>MSNN</t>
  </si>
  <si>
    <t>F:\Dropbox\Current\iModels\Weather\gorgan.xls</t>
  </si>
  <si>
    <t>E/ET</t>
  </si>
  <si>
    <t>M-35-1</t>
  </si>
  <si>
    <t>Sorghum</t>
  </si>
  <si>
    <t>bdEMREJU</t>
  </si>
  <si>
    <t>bdEJUPNI</t>
  </si>
  <si>
    <t>bdBSGPM</t>
  </si>
  <si>
    <t>bdANTBSG</t>
  </si>
  <si>
    <t>dtEJU</t>
  </si>
  <si>
    <t>dtPNI</t>
  </si>
  <si>
    <t>dtTLG</t>
  </si>
  <si>
    <t>Isfahan</t>
  </si>
  <si>
    <t>F:\Dropbox\Current\iModels\Weather\Isfahan_9295.xls</t>
  </si>
  <si>
    <t>Isfahan, Isfahan, Iran</t>
  </si>
  <si>
    <t>Irr-is-1</t>
  </si>
  <si>
    <t>Days to end of juvenile:</t>
  </si>
  <si>
    <t>Days to panicle initiation:</t>
  </si>
  <si>
    <t>Days to termination leaf growth:</t>
  </si>
  <si>
    <t>Patancheru</t>
  </si>
  <si>
    <t>Patancheru-rfd</t>
  </si>
  <si>
    <t>Patancheru-irr</t>
  </si>
  <si>
    <t>Pch-rfd</t>
  </si>
  <si>
    <t>F:\Dropbox\Current\iModels\Weather\Patancheru.xls</t>
  </si>
  <si>
    <t>Patancheru, India</t>
  </si>
  <si>
    <t>Pch-irr</t>
  </si>
  <si>
    <t>A simple sorghum model for potential, water- and N-limited conditions - March 2014</t>
  </si>
  <si>
    <t>0.011-0.016</t>
  </si>
  <si>
    <t>0.40-0.55</t>
  </si>
  <si>
    <t>0.0025-0.0055</t>
  </si>
  <si>
    <t>0.3-0.6</t>
  </si>
  <si>
    <t>bdPNITLM</t>
  </si>
  <si>
    <t>bdTLMANT</t>
  </si>
  <si>
    <t>Gorgan-RFD</t>
  </si>
  <si>
    <t>gorgan-rfd</t>
  </si>
  <si>
    <t>Gorgan-IRR</t>
  </si>
  <si>
    <t>Gorgan-irr</t>
  </si>
  <si>
    <t>Isfahan-IRR</t>
  </si>
  <si>
    <t>Isfahan-irr</t>
  </si>
  <si>
    <t>2.2-2.89</t>
  </si>
  <si>
    <t xml:space="preserve">300 kg DAP at sowing </t>
  </si>
  <si>
    <t xml:space="preserve">200 kg urea at sowing </t>
  </si>
  <si>
    <t>100 kg urea at ?</t>
  </si>
  <si>
    <r>
      <t>Contact us:</t>
    </r>
    <r>
      <rPr>
        <b/>
        <sz val="11"/>
        <rFont val="Arial"/>
        <family val="2"/>
      </rPr>
      <t xml:space="preserve"> afshin.soltani@gmail.com</t>
    </r>
  </si>
  <si>
    <t>Ref: Modeling Physiology of Crop Development, Growth and Yield (2012) Soltani &amp; Sinclair &amp; SSM-Wheat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</si>
</sst>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6" formatCode="0.0"/>
    <numFmt numFmtId="190" formatCode="0.000"/>
  </numFmts>
  <fonts count="28" x14ac:knownFonts="1">
    <font>
      <sz val="10"/>
      <name val="Arial"/>
      <charset val="178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4"/>
      <color indexed="37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sz val="10"/>
      <color indexed="61"/>
      <name val="Arial"/>
      <family val="2"/>
      <charset val="178"/>
    </font>
    <font>
      <sz val="10"/>
      <color indexed="12"/>
      <name val="Arial"/>
      <family val="2"/>
      <charset val="178"/>
    </font>
    <font>
      <sz val="10"/>
      <color indexed="14"/>
      <name val="Arial"/>
      <family val="2"/>
      <charset val="178"/>
    </font>
    <font>
      <sz val="10"/>
      <color indexed="8"/>
      <name val="Arial"/>
      <family val="2"/>
      <charset val="178"/>
    </font>
    <font>
      <b/>
      <i/>
      <sz val="11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14"/>
      <color indexed="10"/>
      <name val="Arial"/>
      <family val="2"/>
    </font>
    <font>
      <b/>
      <u/>
      <sz val="10"/>
      <name val="Arial"/>
      <family val="2"/>
    </font>
    <font>
      <sz val="10"/>
      <color indexed="5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0" fillId="0" borderId="0" xfId="0" applyAlignment="1">
      <alignment horizontal="center"/>
    </xf>
    <xf numFmtId="1" fontId="5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7" fillId="0" borderId="0" xfId="0" applyFont="1" applyFill="1" applyBorder="1"/>
    <xf numFmtId="0" fontId="5" fillId="2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2" borderId="0" xfId="0" applyFill="1"/>
    <xf numFmtId="0" fontId="0" fillId="0" borderId="0" xfId="0" applyFill="1"/>
    <xf numFmtId="0" fontId="5" fillId="0" borderId="0" xfId="0" applyFont="1" applyFill="1" applyBorder="1"/>
    <xf numFmtId="1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1" fontId="5" fillId="5" borderId="1" xfId="0" applyNumberFormat="1" applyFont="1" applyFill="1" applyBorder="1" applyAlignment="1">
      <alignment horizontal="center"/>
    </xf>
    <xf numFmtId="0" fontId="3" fillId="3" borderId="0" xfId="0" applyFont="1" applyFill="1"/>
    <xf numFmtId="0" fontId="5" fillId="3" borderId="2" xfId="0" applyFont="1" applyFill="1" applyBorder="1"/>
    <xf numFmtId="0" fontId="5" fillId="3" borderId="2" xfId="0" applyFont="1" applyFill="1" applyBorder="1" applyAlignment="1">
      <alignment horizontal="center"/>
    </xf>
    <xf numFmtId="0" fontId="0" fillId="5" borderId="1" xfId="0" applyFill="1" applyBorder="1"/>
    <xf numFmtId="1" fontId="5" fillId="4" borderId="0" xfId="0" applyNumberFormat="1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0" fontId="3" fillId="2" borderId="3" xfId="0" applyFont="1" applyFill="1" applyBorder="1"/>
    <xf numFmtId="0" fontId="8" fillId="5" borderId="4" xfId="0" applyFont="1" applyFill="1" applyBorder="1"/>
    <xf numFmtId="0" fontId="5" fillId="4" borderId="3" xfId="0" applyFont="1" applyFill="1" applyBorder="1"/>
    <xf numFmtId="186" fontId="5" fillId="2" borderId="0" xfId="0" applyNumberFormat="1" applyFont="1" applyFill="1" applyAlignment="1">
      <alignment horizontal="center"/>
    </xf>
    <xf numFmtId="186" fontId="0" fillId="0" borderId="0" xfId="0" applyNumberFormat="1" applyAlignment="1">
      <alignment horizontal="center"/>
    </xf>
    <xf numFmtId="2" fontId="5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1" fontId="5" fillId="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5" fillId="6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2" fontId="5" fillId="4" borderId="0" xfId="0" applyNumberFormat="1" applyFont="1" applyFill="1" applyBorder="1" applyAlignment="1">
      <alignment horizontal="center"/>
    </xf>
    <xf numFmtId="0" fontId="12" fillId="0" borderId="0" xfId="0" applyFont="1" applyFill="1"/>
    <xf numFmtId="0" fontId="3" fillId="0" borderId="0" xfId="0" applyFont="1" applyFill="1" applyBorder="1"/>
    <xf numFmtId="0" fontId="0" fillId="2" borderId="0" xfId="0" applyFill="1" applyBorder="1"/>
    <xf numFmtId="0" fontId="7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center"/>
    </xf>
    <xf numFmtId="0" fontId="0" fillId="3" borderId="0" xfId="0" applyFill="1"/>
    <xf numFmtId="0" fontId="7" fillId="0" borderId="0" xfId="0" applyFont="1" applyFill="1"/>
    <xf numFmtId="0" fontId="5" fillId="2" borderId="0" xfId="0" applyFont="1" applyFill="1" applyBorder="1" applyAlignment="1">
      <alignment horizontal="center"/>
    </xf>
    <xf numFmtId="186" fontId="5" fillId="5" borderId="1" xfId="0" applyNumberFormat="1" applyFont="1" applyFill="1" applyBorder="1" applyAlignment="1">
      <alignment horizontal="center"/>
    </xf>
    <xf numFmtId="186" fontId="5" fillId="0" borderId="0" xfId="0" applyNumberFormat="1" applyFont="1" applyFill="1" applyBorder="1" applyAlignment="1">
      <alignment horizontal="center"/>
    </xf>
    <xf numFmtId="186" fontId="5" fillId="4" borderId="0" xfId="0" applyNumberFormat="1" applyFont="1" applyFill="1" applyBorder="1" applyAlignment="1">
      <alignment horizontal="center"/>
    </xf>
    <xf numFmtId="186" fontId="5" fillId="4" borderId="0" xfId="0" applyNumberFormat="1" applyFont="1" applyFill="1" applyAlignment="1">
      <alignment horizontal="center"/>
    </xf>
    <xf numFmtId="0" fontId="0" fillId="0" borderId="0" xfId="0" applyBorder="1"/>
    <xf numFmtId="0" fontId="5" fillId="2" borderId="0" xfId="0" applyFont="1" applyFill="1" applyBorder="1"/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5" xfId="0" applyBorder="1"/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8" fillId="3" borderId="0" xfId="0" applyFont="1" applyFill="1" applyAlignment="1">
      <alignment horizontal="left"/>
    </xf>
    <xf numFmtId="0" fontId="5" fillId="0" borderId="0" xfId="0" applyFont="1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0" fillId="0" borderId="0" xfId="0" applyAlignment="1"/>
    <xf numFmtId="1" fontId="5" fillId="0" borderId="0" xfId="0" applyNumberFormat="1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Fill="1" applyAlignment="1">
      <alignment horizontal="center"/>
    </xf>
    <xf numFmtId="186" fontId="7" fillId="0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8" borderId="0" xfId="0" applyFont="1" applyFill="1"/>
    <xf numFmtId="0" fontId="7" fillId="0" borderId="0" xfId="0" applyFont="1" applyFill="1" applyAlignment="1">
      <alignment horizontal="center"/>
    </xf>
    <xf numFmtId="0" fontId="5" fillId="6" borderId="0" xfId="0" applyFont="1" applyFill="1"/>
    <xf numFmtId="0" fontId="13" fillId="0" borderId="0" xfId="0" applyFont="1" applyFill="1" applyAlignment="1">
      <alignment horizontal="center"/>
    </xf>
    <xf numFmtId="1" fontId="7" fillId="0" borderId="0" xfId="0" applyNumberFormat="1" applyFont="1" applyAlignment="1">
      <alignment horizontal="center"/>
    </xf>
    <xf numFmtId="186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" fontId="7" fillId="0" borderId="0" xfId="0" applyNumberFormat="1" applyFont="1" applyFill="1" applyAlignment="1">
      <alignment horizontal="center"/>
    </xf>
    <xf numFmtId="2" fontId="7" fillId="0" borderId="0" xfId="0" applyNumberFormat="1" applyFont="1" applyFill="1" applyAlignment="1">
      <alignment horizontal="center"/>
    </xf>
    <xf numFmtId="186" fontId="5" fillId="9" borderId="0" xfId="0" applyNumberFormat="1" applyFont="1" applyFill="1" applyAlignment="1">
      <alignment horizontal="center"/>
    </xf>
    <xf numFmtId="0" fontId="5" fillId="8" borderId="6" xfId="0" applyFon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5" fillId="2" borderId="9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7" fillId="0" borderId="9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9" xfId="0" applyFont="1" applyFill="1" applyBorder="1" applyAlignment="1">
      <alignment horizontal="left"/>
    </xf>
    <xf numFmtId="0" fontId="5" fillId="4" borderId="9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9" xfId="0" applyBorder="1"/>
    <xf numFmtId="0" fontId="5" fillId="2" borderId="9" xfId="0" applyFont="1" applyFill="1" applyBorder="1"/>
    <xf numFmtId="0" fontId="19" fillId="2" borderId="9" xfId="0" applyFont="1" applyFill="1" applyBorder="1"/>
    <xf numFmtId="0" fontId="13" fillId="2" borderId="9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8" borderId="6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left"/>
    </xf>
    <xf numFmtId="0" fontId="5" fillId="2" borderId="5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 applyFill="1" applyAlignment="1">
      <alignment horizontal="center"/>
    </xf>
    <xf numFmtId="1" fontId="23" fillId="0" borderId="0" xfId="0" applyNumberFormat="1" applyFont="1" applyFill="1" applyBorder="1" applyAlignment="1">
      <alignment horizontal="left"/>
    </xf>
    <xf numFmtId="0" fontId="25" fillId="0" borderId="0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7" fillId="4" borderId="0" xfId="0" applyFont="1" applyFill="1" applyBorder="1"/>
    <xf numFmtId="0" fontId="5" fillId="10" borderId="5" xfId="0" applyFont="1" applyFill="1" applyBorder="1"/>
    <xf numFmtId="0" fontId="5" fillId="10" borderId="5" xfId="0" applyFont="1" applyFill="1" applyBorder="1" applyAlignment="1">
      <alignment horizontal="center"/>
    </xf>
    <xf numFmtId="0" fontId="0" fillId="10" borderId="0" xfId="0" applyFill="1" applyBorder="1"/>
    <xf numFmtId="0" fontId="0" fillId="10" borderId="0" xfId="0" applyFill="1" applyBorder="1" applyAlignment="1">
      <alignment horizontal="center"/>
    </xf>
    <xf numFmtId="0" fontId="0" fillId="10" borderId="1" xfId="0" applyFill="1" applyBorder="1"/>
    <xf numFmtId="0" fontId="5" fillId="11" borderId="0" xfId="0" applyFont="1" applyFill="1" applyBorder="1"/>
    <xf numFmtId="0" fontId="5" fillId="11" borderId="0" xfId="0" applyFont="1" applyFill="1"/>
    <xf numFmtId="0" fontId="5" fillId="11" borderId="0" xfId="0" applyFont="1" applyFill="1" applyBorder="1" applyAlignment="1">
      <alignment horizontal="center"/>
    </xf>
    <xf numFmtId="0" fontId="11" fillId="11" borderId="0" xfId="0" applyFont="1" applyFill="1" applyBorder="1" applyAlignment="1">
      <alignment horizontal="center"/>
    </xf>
    <xf numFmtId="0" fontId="5" fillId="11" borderId="0" xfId="0" applyFont="1" applyFill="1" applyAlignment="1">
      <alignment horizontal="center"/>
    </xf>
    <xf numFmtId="186" fontId="11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11" fillId="11" borderId="0" xfId="0" applyNumberFormat="1" applyFont="1" applyFill="1" applyBorder="1" applyAlignment="1">
      <alignment horizontal="center"/>
    </xf>
    <xf numFmtId="0" fontId="5" fillId="12" borderId="0" xfId="0" applyFont="1" applyFill="1" applyBorder="1"/>
    <xf numFmtId="0" fontId="19" fillId="12" borderId="0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center"/>
    </xf>
    <xf numFmtId="0" fontId="0" fillId="12" borderId="10" xfId="0" applyFill="1" applyBorder="1"/>
    <xf numFmtId="0" fontId="5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19" fillId="12" borderId="0" xfId="0" applyFont="1" applyFill="1" applyBorder="1"/>
    <xf numFmtId="0" fontId="7" fillId="0" borderId="1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ill="1" applyBorder="1" applyAlignment="1"/>
    <xf numFmtId="0" fontId="0" fillId="0" borderId="10" xfId="0" applyBorder="1" applyAlignment="1"/>
    <xf numFmtId="0" fontId="5" fillId="7" borderId="0" xfId="0" applyFont="1" applyFill="1" applyBorder="1"/>
    <xf numFmtId="0" fontId="5" fillId="7" borderId="0" xfId="0" applyFont="1" applyFill="1"/>
    <xf numFmtId="0" fontId="10" fillId="3" borderId="0" xfId="0" applyFont="1" applyFill="1"/>
    <xf numFmtId="0" fontId="13" fillId="0" borderId="0" xfId="0" applyFont="1" applyFill="1" applyBorder="1" applyAlignment="1">
      <alignment horizontal="center"/>
    </xf>
    <xf numFmtId="1" fontId="5" fillId="11" borderId="0" xfId="0" applyNumberFormat="1" applyFont="1" applyFill="1" applyAlignment="1">
      <alignment horizontal="center"/>
    </xf>
    <xf numFmtId="0" fontId="11" fillId="11" borderId="0" xfId="0" applyNumberFormat="1" applyFont="1" applyFill="1" applyBorder="1" applyAlignment="1">
      <alignment horizontal="left"/>
    </xf>
    <xf numFmtId="1" fontId="27" fillId="11" borderId="0" xfId="0" applyNumberFormat="1" applyFont="1" applyFill="1" applyBorder="1" applyAlignment="1">
      <alignment horizontal="center"/>
    </xf>
    <xf numFmtId="0" fontId="27" fillId="11" borderId="0" xfId="0" applyFont="1" applyFill="1" applyAlignment="1">
      <alignment horizontal="center"/>
    </xf>
    <xf numFmtId="2" fontId="5" fillId="11" borderId="0" xfId="0" applyNumberFormat="1" applyFont="1" applyFill="1" applyAlignment="1">
      <alignment horizontal="center"/>
    </xf>
    <xf numFmtId="190" fontId="11" fillId="11" borderId="0" xfId="0" applyNumberFormat="1" applyFont="1" applyFill="1" applyBorder="1" applyAlignment="1">
      <alignment horizontal="center"/>
    </xf>
    <xf numFmtId="1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50000000000001"/>
          <c:y val="5.5350653235004245E-2"/>
          <c:w val="0.79062500000000002"/>
          <c:h val="0.73800870980005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DailyO!$L$1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DailyO!$H$2:$H$300</c:f>
              <c:numCache>
                <c:formatCode>0</c:formatCode>
                <c:ptCount val="299"/>
              </c:numCache>
            </c:numRef>
          </c:xVal>
          <c:yVal>
            <c:numRef>
              <c:f>DailyO!$L$2:$L$307</c:f>
              <c:numCache>
                <c:formatCode>0.0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1-4B8D-9DFE-B4C1D0D29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31631"/>
        <c:axId val="1"/>
      </c:scatterChart>
      <c:valAx>
        <c:axId val="1954931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875000000000004"/>
              <c:y val="0.89299047951109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MSNN</a:t>
                </a:r>
              </a:p>
            </c:rich>
          </c:tx>
          <c:layout>
            <c:manualLayout>
              <c:xMode val="edge"/>
              <c:yMode val="edge"/>
              <c:x val="2.8125000000000001E-2"/>
              <c:y val="0.383764612449274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3163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9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08077124292029"/>
          <c:y val="5.4945251492572018E-2"/>
          <c:w val="0.78260988240289331"/>
          <c:h val="0.73992938676663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DailyO!$O$1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DailyO!$H$2:$H$299</c:f>
              <c:numCache>
                <c:formatCode>0</c:formatCode>
                <c:ptCount val="298"/>
              </c:numCache>
            </c:numRef>
          </c:xVal>
          <c:yVal>
            <c:numRef>
              <c:f>DailyO!$O$2:$O$299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B-42B2-97C0-21990180A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21071"/>
        <c:axId val="1"/>
      </c:scatterChart>
      <c:valAx>
        <c:axId val="1954921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484537258929587"/>
              <c:y val="0.893775970311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0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LAI</a:t>
                </a:r>
              </a:p>
            </c:rich>
          </c:tx>
          <c:layout>
            <c:manualLayout>
              <c:xMode val="edge"/>
              <c:yMode val="edge"/>
              <c:x val="2.7950310559006212E-2"/>
              <c:y val="0.388279926547643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21071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400429048536115"/>
          <c:y val="5.4744623105010951E-2"/>
          <c:w val="0.76367389060887514"/>
          <c:h val="0.74087723268781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DailyO!$Z$1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DailyO!$Z$2:$Z$307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7B-4D14-8920-D93547930F7C}"/>
            </c:ext>
          </c:extLst>
        </c:ser>
        <c:ser>
          <c:idx val="3"/>
          <c:order val="1"/>
          <c:tx>
            <c:strRef>
              <c:f>DailyO!$Y$1</c:f>
              <c:strCache>
                <c:ptCount val="1"/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DailyO!$Y$2:$Y$307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7B-4D14-8920-D9354793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22511"/>
        <c:axId val="1"/>
      </c:scatterChart>
      <c:valAx>
        <c:axId val="1954922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012383900928794"/>
              <c:y val="0.894162116596739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Crop top / grain dry matter </a:t>
                </a:r>
              </a:p>
            </c:rich>
          </c:tx>
          <c:layout>
            <c:manualLayout>
              <c:xMode val="edge"/>
              <c:yMode val="edge"/>
              <c:x val="7.2239422084623322E-3"/>
              <c:y val="0.145672739812632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2251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23102348410979"/>
          <c:y val="5.4348018384915597E-2"/>
          <c:w val="0.78461656342632724"/>
          <c:h val="0.7427562512605131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DailyO!$AJ$1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DailyO!$AJ$2:$AJ$307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8-4096-B2BF-C1828C56C7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Figures!$L$36:$L$37</c:f>
              <c:numCache>
                <c:formatCode>General</c:formatCode>
                <c:ptCount val="2"/>
                <c:pt idx="0">
                  <c:v>0</c:v>
                </c:pt>
                <c:pt idx="1">
                  <c:v>300</c:v>
                </c:pt>
              </c:numCache>
            </c:numRef>
          </c:xVal>
          <c:yVal>
            <c:numRef>
              <c:f>Figures!$M$36:$M$37</c:f>
              <c:numCache>
                <c:formatCode>General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B8-4096-B2BF-C1828C56C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23951"/>
        <c:axId val="1"/>
      </c:scatterChart>
      <c:valAx>
        <c:axId val="1954923951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2307756915001002"/>
              <c:y val="0.894930579329757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  <c:max val="1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FTSWRZ</a:t>
                </a:r>
              </a:p>
            </c:rich>
          </c:tx>
          <c:layout>
            <c:manualLayout>
              <c:xMode val="edge"/>
              <c:yMode val="edge"/>
              <c:x val="2.7692307692307693E-2"/>
              <c:y val="0.34058085130663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23951"/>
        <c:crosses val="autoZero"/>
        <c:crossBetween val="midCat"/>
        <c:majorUnit val="0.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DailyO!$AO$1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DailyO!$AO$2:$AO$307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56-46B3-8666-07D2B86AA7FC}"/>
            </c:ext>
          </c:extLst>
        </c:ser>
        <c:ser>
          <c:idx val="1"/>
          <c:order val="1"/>
          <c:tx>
            <c:strRef>
              <c:f>DailyO!$AP$1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DailyO!$AP$2:$AP$307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56-46B3-8666-07D2B86AA7FC}"/>
            </c:ext>
          </c:extLst>
        </c:ser>
        <c:ser>
          <c:idx val="5"/>
          <c:order val="2"/>
          <c:tx>
            <c:strRef>
              <c:f>DailyO!$AN$1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DailyO!$AN$2:$AN$307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56-46B3-8666-07D2B86AA7FC}"/>
            </c:ext>
          </c:extLst>
        </c:ser>
        <c:ser>
          <c:idx val="2"/>
          <c:order val="3"/>
          <c:tx>
            <c:strRef>
              <c:f>DailyO!$AQ$1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DailyO!$AQ$2:$AQ$307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56-46B3-8666-07D2B86AA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46511"/>
        <c:axId val="1"/>
      </c:scatterChart>
      <c:valAx>
        <c:axId val="1954946511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4651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20489360848242594"/>
          <c:y val="6.4748201438848921E-2"/>
          <c:w val="0.51987928114490278"/>
          <c:h val="0.3093525179856115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DailyO!$AK$1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DailyO!$AK$2:$AK$306</c:f>
              <c:numCache>
                <c:formatCode>0</c:formatCode>
                <c:ptCount val="30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C-459F-A5D1-E17BB64EAE37}"/>
            </c:ext>
          </c:extLst>
        </c:ser>
        <c:ser>
          <c:idx val="1"/>
          <c:order val="1"/>
          <c:tx>
            <c:strRef>
              <c:f>DailyO!$AL$1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DailyO!$AL$2:$AL$307</c:f>
              <c:numCache>
                <c:formatCode>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9C-459F-A5D1-E17BB64EA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37391"/>
        <c:axId val="1"/>
      </c:scatterChart>
      <c:valAx>
        <c:axId val="1954937391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mm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373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20183550450689078"/>
          <c:y val="6.4748201438848921E-2"/>
          <c:w val="0.44342636069573871"/>
          <c:h val="0.230215827338129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DailyO!$BI$1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DailyO!$BI$2:$BI$307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D-41EE-B21D-29B0E0769202}"/>
            </c:ext>
          </c:extLst>
        </c:ser>
        <c:ser>
          <c:idx val="1"/>
          <c:order val="1"/>
          <c:tx>
            <c:strRef>
              <c:f>DailyO!$BH$1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DailyO!$BH$2:$BH$307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D-41EE-B21D-29B0E0769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42671"/>
        <c:axId val="1"/>
      </c:scatterChart>
      <c:valAx>
        <c:axId val="1954942671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426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8960308860475009"/>
          <c:y val="6.4748201438848921E-2"/>
          <c:w val="0.43119394479359802"/>
          <c:h val="0.230215827338129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DailyO!$AS$1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DailyO!$AS$2:$AS$307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3-4A1D-AB83-07EA42F2A6D0}"/>
            </c:ext>
          </c:extLst>
        </c:ser>
        <c:ser>
          <c:idx val="1"/>
          <c:order val="1"/>
          <c:tx>
            <c:strRef>
              <c:f>DailyO!$AY$1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DailyO!$AY$2:$AY$307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63-4A1D-AB83-07EA42F2A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49871"/>
        <c:axId val="1"/>
      </c:scatterChart>
      <c:valAx>
        <c:axId val="1954949871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498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8042877667814458"/>
          <c:y val="6.4748201438848921E-2"/>
          <c:w val="0.42201963286699251"/>
          <c:h val="0.230215827338129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DailyO!$AU$1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DailyO!$AU$2:$AU$307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88-4964-BF89-54DAB35F594A}"/>
            </c:ext>
          </c:extLst>
        </c:ser>
        <c:ser>
          <c:idx val="1"/>
          <c:order val="1"/>
          <c:tx>
            <c:strRef>
              <c:f>DailyO!$AW$1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DailyO!$AW$2:$AW$307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64-BF89-54DAB35F594A}"/>
            </c:ext>
          </c:extLst>
        </c:ser>
        <c:ser>
          <c:idx val="5"/>
          <c:order val="2"/>
          <c:tx>
            <c:strRef>
              <c:f>DailyO!$BA$1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DailyO!$BA$2:$BA$307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88-4964-BF89-54DAB35F5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42191"/>
        <c:axId val="1"/>
      </c:scatterChart>
      <c:valAx>
        <c:axId val="1954942191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28114490278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35779816515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4219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9266119258028527"/>
          <c:y val="6.4748201438848921E-2"/>
          <c:w val="0.4342520487691332"/>
          <c:h val="0.2841726618705036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6918983307807"/>
          <c:y val="5.3956834532374098E-2"/>
          <c:w val="0.77055068248737901"/>
          <c:h val="0.7446043165467626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DailyO!$BC$1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DailyO!$BC$2:$BC$307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D8-4205-AC74-8F357DE8A451}"/>
            </c:ext>
          </c:extLst>
        </c:ser>
        <c:ser>
          <c:idx val="1"/>
          <c:order val="1"/>
          <c:tx>
            <c:strRef>
              <c:f>DailyO!$BB$1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DailyO!$BB$2:$BB$307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D8-4205-AC74-8F357DE8A451}"/>
            </c:ext>
          </c:extLst>
        </c:ser>
        <c:ser>
          <c:idx val="5"/>
          <c:order val="2"/>
          <c:tx>
            <c:strRef>
              <c:f>DailyO!$BD$1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DailyO!$H$2:$H$307</c:f>
              <c:numCache>
                <c:formatCode>0</c:formatCode>
                <c:ptCount val="306"/>
              </c:numCache>
            </c:numRef>
          </c:xVal>
          <c:yVal>
            <c:numRef>
              <c:f>DailyO!$BD$2:$BD$307</c:f>
              <c:numCache>
                <c:formatCode>0.00</c:formatCode>
                <c:ptCount val="30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D8-4205-AC74-8F357DE8A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940271"/>
        <c:axId val="1"/>
      </c:scatterChart>
      <c:valAx>
        <c:axId val="1954940271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DAP</a:t>
                </a:r>
              </a:p>
            </c:rich>
          </c:tx>
          <c:layout>
            <c:manualLayout>
              <c:xMode val="edge"/>
              <c:yMode val="edge"/>
              <c:x val="0.51987931415115163"/>
              <c:y val="0.895683453237410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 N m-2</a:t>
                </a:r>
              </a:p>
            </c:rich>
          </c:tx>
          <c:layout>
            <c:manualLayout>
              <c:xMode val="edge"/>
              <c:yMode val="edge"/>
              <c:x val="2.7522914775839936E-2"/>
              <c:y val="0.388489208633093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4940271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8807515882944537"/>
          <c:y val="6.4748201438848921E-2"/>
          <c:w val="0.92966598801318057"/>
          <c:h val="0.22302158273381295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0</xdr:rowOff>
        </xdr:from>
        <xdr:to>
          <xdr:col>6</xdr:col>
          <xdr:colOff>752475</xdr:colOff>
          <xdr:row>26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67475B-542B-9D55-3913-A9EE8D25B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5</xdr:col>
      <xdr:colOff>0</xdr:colOff>
      <xdr:row>16</xdr:row>
      <xdr:rowOff>0</xdr:rowOff>
    </xdr:to>
    <xdr:graphicFrame macro="">
      <xdr:nvGraphicFramePr>
        <xdr:cNvPr id="4196510" name="Chart 1">
          <a:extLst>
            <a:ext uri="{FF2B5EF4-FFF2-40B4-BE49-F238E27FC236}">
              <a16:creationId xmlns:a16="http://schemas.microsoft.com/office/drawing/2014/main" id="{0AC292BD-815D-6CD2-1F1B-0BCDFD251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10</xdr:col>
      <xdr:colOff>19050</xdr:colOff>
      <xdr:row>16</xdr:row>
      <xdr:rowOff>9525</xdr:rowOff>
    </xdr:to>
    <xdr:graphicFrame macro="">
      <xdr:nvGraphicFramePr>
        <xdr:cNvPr id="4196511" name="Chart 3">
          <a:extLst>
            <a:ext uri="{FF2B5EF4-FFF2-40B4-BE49-F238E27FC236}">
              <a16:creationId xmlns:a16="http://schemas.microsoft.com/office/drawing/2014/main" id="{6546AE65-75FB-0FD9-8DEA-F5F892F6F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600075</xdr:colOff>
      <xdr:row>0</xdr:row>
      <xdr:rowOff>0</xdr:rowOff>
    </xdr:from>
    <xdr:to>
      <xdr:col>15</xdr:col>
      <xdr:colOff>19050</xdr:colOff>
      <xdr:row>16</xdr:row>
      <xdr:rowOff>19050</xdr:rowOff>
    </xdr:to>
    <xdr:graphicFrame macro="">
      <xdr:nvGraphicFramePr>
        <xdr:cNvPr id="4196512" name="Chart 4">
          <a:extLst>
            <a:ext uri="{FF2B5EF4-FFF2-40B4-BE49-F238E27FC236}">
              <a16:creationId xmlns:a16="http://schemas.microsoft.com/office/drawing/2014/main" id="{C2FA5283-AA53-3E93-CAB7-6D45EB7AB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5</xdr:col>
      <xdr:colOff>47625</xdr:colOff>
      <xdr:row>32</xdr:row>
      <xdr:rowOff>38100</xdr:rowOff>
    </xdr:to>
    <xdr:graphicFrame macro="">
      <xdr:nvGraphicFramePr>
        <xdr:cNvPr id="4196513" name="Chart 6">
          <a:extLst>
            <a:ext uri="{FF2B5EF4-FFF2-40B4-BE49-F238E27FC236}">
              <a16:creationId xmlns:a16="http://schemas.microsoft.com/office/drawing/2014/main" id="{95A2C5EE-556D-58F0-FB6D-F6F52C433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15</xdr:row>
      <xdr:rowOff>142875</xdr:rowOff>
    </xdr:from>
    <xdr:to>
      <xdr:col>10</xdr:col>
      <xdr:colOff>76200</xdr:colOff>
      <xdr:row>32</xdr:row>
      <xdr:rowOff>38100</xdr:rowOff>
    </xdr:to>
    <xdr:graphicFrame macro="">
      <xdr:nvGraphicFramePr>
        <xdr:cNvPr id="4196514" name="Chart 8">
          <a:extLst>
            <a:ext uri="{FF2B5EF4-FFF2-40B4-BE49-F238E27FC236}">
              <a16:creationId xmlns:a16="http://schemas.microsoft.com/office/drawing/2014/main" id="{FA882590-0533-E083-31BD-D99EB2437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15</xdr:col>
      <xdr:colOff>66675</xdr:colOff>
      <xdr:row>32</xdr:row>
      <xdr:rowOff>57150</xdr:rowOff>
    </xdr:to>
    <xdr:graphicFrame macro="">
      <xdr:nvGraphicFramePr>
        <xdr:cNvPr id="4196515" name="Chart 1835">
          <a:extLst>
            <a:ext uri="{FF2B5EF4-FFF2-40B4-BE49-F238E27FC236}">
              <a16:creationId xmlns:a16="http://schemas.microsoft.com/office/drawing/2014/main" id="{D0157BFF-7702-6BB1-BAF1-D1AF70091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5</xdr:col>
      <xdr:colOff>66675</xdr:colOff>
      <xdr:row>48</xdr:row>
      <xdr:rowOff>57150</xdr:rowOff>
    </xdr:to>
    <xdr:graphicFrame macro="">
      <xdr:nvGraphicFramePr>
        <xdr:cNvPr id="4196516" name="Chart 1836">
          <a:extLst>
            <a:ext uri="{FF2B5EF4-FFF2-40B4-BE49-F238E27FC236}">
              <a16:creationId xmlns:a16="http://schemas.microsoft.com/office/drawing/2014/main" id="{55E29A55-9D98-4821-24B1-05DA2B759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10</xdr:col>
      <xdr:colOff>66675</xdr:colOff>
      <xdr:row>48</xdr:row>
      <xdr:rowOff>57150</xdr:rowOff>
    </xdr:to>
    <xdr:graphicFrame macro="">
      <xdr:nvGraphicFramePr>
        <xdr:cNvPr id="4196517" name="Chart 1837">
          <a:extLst>
            <a:ext uri="{FF2B5EF4-FFF2-40B4-BE49-F238E27FC236}">
              <a16:creationId xmlns:a16="http://schemas.microsoft.com/office/drawing/2014/main" id="{85657268-A50F-92E6-1994-5914CDF7E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15</xdr:col>
      <xdr:colOff>66675</xdr:colOff>
      <xdr:row>48</xdr:row>
      <xdr:rowOff>57150</xdr:rowOff>
    </xdr:to>
    <xdr:graphicFrame macro="">
      <xdr:nvGraphicFramePr>
        <xdr:cNvPr id="4196518" name="Chart 1838">
          <a:extLst>
            <a:ext uri="{FF2B5EF4-FFF2-40B4-BE49-F238E27FC236}">
              <a16:creationId xmlns:a16="http://schemas.microsoft.com/office/drawing/2014/main" id="{0661607F-9383-C6A3-9463-3D30767A9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57150</xdr:colOff>
      <xdr:row>32</xdr:row>
      <xdr:rowOff>0</xdr:rowOff>
    </xdr:from>
    <xdr:to>
      <xdr:col>20</xdr:col>
      <xdr:colOff>66675</xdr:colOff>
      <xdr:row>48</xdr:row>
      <xdr:rowOff>57150</xdr:rowOff>
    </xdr:to>
    <xdr:graphicFrame macro="">
      <xdr:nvGraphicFramePr>
        <xdr:cNvPr id="4196519" name="Chart 1839">
          <a:extLst>
            <a:ext uri="{FF2B5EF4-FFF2-40B4-BE49-F238E27FC236}">
              <a16:creationId xmlns:a16="http://schemas.microsoft.com/office/drawing/2014/main" id="{38E3CA25-D86F-8BDB-7EA2-51678C4B6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744CD-F155-4EBE-8D24-DF3F157951A8}">
  <sheetPr codeName="Sheet1"/>
  <dimension ref="A1:Q113"/>
  <sheetViews>
    <sheetView tabSelected="1" zoomScale="80" zoomScaleNormal="80" workbookViewId="0">
      <pane ySplit="3" topLeftCell="A4" activePane="bottomLeft" state="frozen"/>
      <selection pane="bottomLeft" activeCell="A3" sqref="A3"/>
    </sheetView>
  </sheetViews>
  <sheetFormatPr defaultRowHeight="12.75" x14ac:dyDescent="0.2"/>
  <cols>
    <col min="1" max="1" width="20.7109375" customWidth="1"/>
    <col min="2" max="5" width="17.7109375" customWidth="1"/>
    <col min="6" max="6" width="8.7109375" customWidth="1"/>
    <col min="7" max="7" width="12.5703125" customWidth="1"/>
    <col min="8" max="8" width="41.42578125" customWidth="1"/>
    <col min="9" max="9" width="11.5703125" customWidth="1"/>
    <col min="10" max="10" width="33.42578125" customWidth="1"/>
    <col min="11" max="13" width="9.7109375" customWidth="1"/>
  </cols>
  <sheetData>
    <row r="1" spans="1:17" ht="18" x14ac:dyDescent="0.25">
      <c r="A1" s="18" t="s">
        <v>790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7" ht="18" x14ac:dyDescent="0.25">
      <c r="A2" s="18" t="s">
        <v>808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7" s="10" customFormat="1" ht="15.75" customHeight="1" x14ac:dyDescent="0.25">
      <c r="A3" s="61" t="s">
        <v>807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7" ht="18" x14ac:dyDescent="0.25">
      <c r="A4" s="1" t="s">
        <v>703</v>
      </c>
      <c r="B4" s="9"/>
      <c r="C4" s="9"/>
      <c r="D4" s="9"/>
      <c r="E4" s="39"/>
      <c r="F4" s="39"/>
      <c r="G4" s="43"/>
      <c r="H4" s="24" t="s">
        <v>705</v>
      </c>
      <c r="I4" s="9"/>
      <c r="J4" s="9"/>
      <c r="K4" s="39"/>
      <c r="L4" s="9"/>
      <c r="M4" s="9"/>
    </row>
    <row r="5" spans="1:17" ht="15" x14ac:dyDescent="0.25">
      <c r="A5" s="62"/>
      <c r="B5" s="34"/>
      <c r="C5" s="34"/>
      <c r="D5" s="34"/>
      <c r="E5" s="11"/>
      <c r="F5" s="13"/>
      <c r="G5" s="43"/>
      <c r="H5" s="25" t="s">
        <v>22</v>
      </c>
      <c r="I5" s="21"/>
      <c r="J5" s="25" t="s">
        <v>71</v>
      </c>
      <c r="K5" s="46"/>
      <c r="L5" s="47"/>
      <c r="M5" s="12"/>
      <c r="N5" s="14"/>
      <c r="O5" s="14"/>
      <c r="P5" s="14"/>
      <c r="Q5" s="14"/>
    </row>
    <row r="6" spans="1:17" x14ac:dyDescent="0.2">
      <c r="A6" s="51" t="s">
        <v>697</v>
      </c>
      <c r="B6" s="13">
        <v>5</v>
      </c>
      <c r="C6" s="13"/>
      <c r="D6" s="13"/>
      <c r="E6" s="11"/>
      <c r="F6" s="13"/>
      <c r="G6" s="43"/>
      <c r="H6" s="26" t="s">
        <v>74</v>
      </c>
      <c r="I6" s="5">
        <v>4</v>
      </c>
      <c r="J6" s="26" t="s">
        <v>661</v>
      </c>
      <c r="K6" s="48"/>
      <c r="L6" s="47"/>
      <c r="M6" s="13"/>
      <c r="N6" s="12"/>
      <c r="O6" s="13"/>
      <c r="P6" s="12"/>
      <c r="Q6" s="14"/>
    </row>
    <row r="7" spans="1:17" x14ac:dyDescent="0.2">
      <c r="A7" s="122" t="s">
        <v>698</v>
      </c>
      <c r="B7" s="122" t="s">
        <v>699</v>
      </c>
      <c r="C7" s="122" t="s">
        <v>700</v>
      </c>
      <c r="D7" s="122" t="s">
        <v>701</v>
      </c>
      <c r="E7" s="122" t="s">
        <v>702</v>
      </c>
      <c r="G7" s="43"/>
      <c r="H7" s="26" t="s">
        <v>780</v>
      </c>
      <c r="I7" s="5">
        <v>30</v>
      </c>
      <c r="J7" s="26" t="s">
        <v>662</v>
      </c>
      <c r="K7" s="48"/>
      <c r="L7" s="47"/>
      <c r="M7" s="13"/>
      <c r="N7" s="12"/>
      <c r="O7" s="13"/>
      <c r="P7" s="12"/>
      <c r="Q7" s="14"/>
    </row>
    <row r="8" spans="1:17" x14ac:dyDescent="0.2">
      <c r="A8" s="13" t="s">
        <v>798</v>
      </c>
      <c r="B8" s="13">
        <v>5</v>
      </c>
      <c r="C8" s="34">
        <v>13</v>
      </c>
      <c r="D8" s="13">
        <v>5</v>
      </c>
      <c r="E8" s="34">
        <v>3</v>
      </c>
      <c r="F8" s="13"/>
      <c r="G8" s="43"/>
      <c r="H8" s="26" t="s">
        <v>781</v>
      </c>
      <c r="I8" s="5">
        <v>40</v>
      </c>
      <c r="J8" s="26" t="s">
        <v>663</v>
      </c>
      <c r="K8" s="48">
        <v>0</v>
      </c>
      <c r="L8" s="47"/>
      <c r="M8" s="12"/>
      <c r="N8" s="12"/>
      <c r="O8" s="12"/>
      <c r="P8" s="12"/>
      <c r="Q8" s="14"/>
    </row>
    <row r="9" spans="1:17" x14ac:dyDescent="0.2">
      <c r="A9" s="13" t="s">
        <v>800</v>
      </c>
      <c r="B9" s="13">
        <v>5</v>
      </c>
      <c r="C9" s="34">
        <v>36</v>
      </c>
      <c r="D9" s="13">
        <v>5</v>
      </c>
      <c r="E9" s="34">
        <v>3</v>
      </c>
      <c r="F9" s="13"/>
      <c r="G9" s="43"/>
      <c r="H9" s="26" t="s">
        <v>782</v>
      </c>
      <c r="I9" s="5">
        <v>83</v>
      </c>
      <c r="J9" s="26" t="s">
        <v>664</v>
      </c>
      <c r="K9" s="49"/>
      <c r="L9" s="42"/>
      <c r="M9" s="12"/>
      <c r="N9" s="12"/>
      <c r="O9" s="12"/>
      <c r="P9" s="12"/>
      <c r="Q9" s="14"/>
    </row>
    <row r="10" spans="1:17" x14ac:dyDescent="0.2">
      <c r="A10" s="13" t="s">
        <v>802</v>
      </c>
      <c r="B10" s="13">
        <v>9</v>
      </c>
      <c r="C10" s="34">
        <v>59</v>
      </c>
      <c r="D10" s="13">
        <v>5</v>
      </c>
      <c r="E10" s="34">
        <v>3</v>
      </c>
      <c r="F10" s="13"/>
      <c r="G10" s="43"/>
      <c r="H10" s="26"/>
      <c r="I10" s="5">
        <v>83</v>
      </c>
      <c r="J10" s="26" t="s">
        <v>665</v>
      </c>
      <c r="K10" s="49"/>
      <c r="L10" s="42"/>
      <c r="M10" s="12"/>
      <c r="N10" s="12"/>
      <c r="O10" s="12"/>
      <c r="P10" s="12"/>
      <c r="Q10" s="14"/>
    </row>
    <row r="11" spans="1:17" x14ac:dyDescent="0.2">
      <c r="A11" s="74" t="s">
        <v>786</v>
      </c>
      <c r="B11" s="74">
        <v>13</v>
      </c>
      <c r="C11" s="74">
        <v>105</v>
      </c>
      <c r="D11" s="74">
        <v>5</v>
      </c>
      <c r="E11" s="74">
        <v>3</v>
      </c>
      <c r="F11" s="13"/>
      <c r="G11" s="43"/>
      <c r="H11" s="26" t="s">
        <v>711</v>
      </c>
      <c r="I11" s="5">
        <v>93</v>
      </c>
      <c r="J11" s="26"/>
      <c r="K11" s="49"/>
      <c r="L11" s="42"/>
      <c r="M11" s="13"/>
      <c r="N11" s="12"/>
      <c r="O11" s="13"/>
      <c r="P11" s="12"/>
      <c r="Q11" s="14"/>
    </row>
    <row r="12" spans="1:17" ht="15" x14ac:dyDescent="0.25">
      <c r="A12" s="74" t="s">
        <v>789</v>
      </c>
      <c r="B12" s="74">
        <v>13</v>
      </c>
      <c r="C12" s="74">
        <v>128</v>
      </c>
      <c r="D12" s="74">
        <v>5</v>
      </c>
      <c r="E12" s="74">
        <v>3</v>
      </c>
      <c r="F12" s="13"/>
      <c r="G12" s="43"/>
      <c r="H12" s="26" t="s">
        <v>86</v>
      </c>
      <c r="I12" s="4">
        <v>96</v>
      </c>
      <c r="J12" s="25" t="s">
        <v>72</v>
      </c>
      <c r="K12" s="46"/>
      <c r="L12" s="42"/>
      <c r="M12" s="42"/>
      <c r="N12" s="12"/>
      <c r="O12" s="42"/>
      <c r="P12" s="12"/>
      <c r="Q12" s="14"/>
    </row>
    <row r="13" spans="1:17" x14ac:dyDescent="0.2">
      <c r="F13" s="13"/>
      <c r="G13" s="43"/>
      <c r="H13" s="26" t="s">
        <v>87</v>
      </c>
      <c r="I13" s="4">
        <v>125</v>
      </c>
      <c r="J13" s="26" t="s">
        <v>666</v>
      </c>
      <c r="K13" s="49"/>
      <c r="L13" s="42"/>
      <c r="M13" s="42"/>
      <c r="N13" s="12"/>
      <c r="O13" s="42"/>
      <c r="P13" s="12"/>
      <c r="Q13" s="14"/>
    </row>
    <row r="14" spans="1:17" x14ac:dyDescent="0.2">
      <c r="F14" s="14"/>
      <c r="G14" s="43"/>
      <c r="H14" s="26" t="s">
        <v>712</v>
      </c>
      <c r="I14" s="4">
        <v>126</v>
      </c>
      <c r="J14" s="26" t="s">
        <v>667</v>
      </c>
      <c r="K14" s="49"/>
      <c r="L14" s="42"/>
      <c r="M14" s="42"/>
      <c r="N14" s="12"/>
      <c r="O14" s="42"/>
      <c r="P14" s="12"/>
      <c r="Q14" s="14"/>
    </row>
    <row r="15" spans="1:17" x14ac:dyDescent="0.2">
      <c r="F15" s="10"/>
      <c r="G15" s="43"/>
      <c r="H15" s="26" t="s">
        <v>713</v>
      </c>
      <c r="I15" s="4">
        <v>131</v>
      </c>
      <c r="J15" s="26" t="s">
        <v>668</v>
      </c>
      <c r="K15" s="49"/>
      <c r="L15" s="42"/>
      <c r="M15" s="12"/>
      <c r="N15" s="12"/>
      <c r="O15" s="12"/>
      <c r="P15" s="12"/>
      <c r="Q15" s="14"/>
    </row>
    <row r="16" spans="1:17" x14ac:dyDescent="0.2">
      <c r="F16" s="10"/>
      <c r="G16" s="43"/>
      <c r="H16" s="26"/>
      <c r="I16" s="5"/>
      <c r="J16" s="26"/>
      <c r="K16" s="49"/>
      <c r="L16" s="42"/>
      <c r="M16" s="12"/>
      <c r="N16" s="12"/>
      <c r="O16" s="12"/>
      <c r="P16" s="12"/>
      <c r="Q16" s="14"/>
    </row>
    <row r="17" spans="1:17" ht="15" x14ac:dyDescent="0.25">
      <c r="A17" s="13"/>
      <c r="B17" s="13"/>
      <c r="C17" s="34"/>
      <c r="D17" s="13"/>
      <c r="E17" s="34"/>
      <c r="F17" s="10"/>
      <c r="G17" s="43"/>
      <c r="H17" s="25" t="s">
        <v>31</v>
      </c>
      <c r="I17" s="16"/>
      <c r="J17" s="26" t="s">
        <v>669</v>
      </c>
      <c r="K17" s="49"/>
      <c r="L17" s="42"/>
      <c r="M17" s="12"/>
      <c r="N17" s="12"/>
      <c r="O17" s="12"/>
      <c r="P17" s="12"/>
      <c r="Q17" s="14"/>
    </row>
    <row r="18" spans="1:17" x14ac:dyDescent="0.2">
      <c r="A18" s="13"/>
      <c r="B18" s="13"/>
      <c r="C18" s="34"/>
      <c r="D18" s="13"/>
      <c r="E18" s="34"/>
      <c r="F18" s="78"/>
      <c r="G18" s="43"/>
      <c r="H18" s="26" t="s">
        <v>654</v>
      </c>
      <c r="I18" s="36">
        <v>18.915999999999997</v>
      </c>
      <c r="J18" s="26" t="s">
        <v>670</v>
      </c>
      <c r="K18" s="49"/>
      <c r="L18" s="42"/>
      <c r="M18" s="12"/>
      <c r="N18" s="12"/>
      <c r="O18" s="12"/>
      <c r="P18" s="12"/>
      <c r="Q18" s="14"/>
    </row>
    <row r="19" spans="1:17" x14ac:dyDescent="0.2">
      <c r="A19" s="13"/>
      <c r="B19" s="13"/>
      <c r="C19" s="34"/>
      <c r="D19" s="13"/>
      <c r="E19" s="34"/>
      <c r="F19" s="78"/>
      <c r="G19" s="43"/>
      <c r="H19" s="26" t="s">
        <v>723</v>
      </c>
      <c r="I19" s="36">
        <v>1.8339730946196382</v>
      </c>
      <c r="J19" s="26" t="s">
        <v>671</v>
      </c>
      <c r="K19" s="49"/>
      <c r="L19" s="42"/>
      <c r="M19" s="12"/>
      <c r="N19" s="12"/>
      <c r="O19" s="12"/>
      <c r="P19" s="12"/>
      <c r="Q19" s="14"/>
    </row>
    <row r="20" spans="1:17" x14ac:dyDescent="0.2">
      <c r="A20" s="13"/>
      <c r="B20" s="13"/>
      <c r="C20" s="34"/>
      <c r="D20" s="13"/>
      <c r="E20" s="34"/>
      <c r="F20" s="76"/>
      <c r="G20" s="43"/>
      <c r="H20" s="26" t="s">
        <v>724</v>
      </c>
      <c r="I20" s="4">
        <v>505.92220032288122</v>
      </c>
      <c r="J20" s="26" t="s">
        <v>672</v>
      </c>
      <c r="K20" s="49"/>
      <c r="L20" s="47"/>
      <c r="M20" s="12"/>
      <c r="N20" s="12"/>
      <c r="O20" s="12"/>
      <c r="P20" s="12"/>
      <c r="Q20" s="14"/>
    </row>
    <row r="21" spans="1:17" x14ac:dyDescent="0.2">
      <c r="A21" s="13"/>
      <c r="B21" s="13"/>
      <c r="C21" s="13"/>
      <c r="D21" s="13"/>
      <c r="E21" s="13"/>
      <c r="F21" s="76"/>
      <c r="G21" s="43"/>
      <c r="H21" s="26"/>
      <c r="I21" s="4"/>
      <c r="J21" s="26" t="s">
        <v>673</v>
      </c>
      <c r="K21" s="49"/>
      <c r="L21" s="47"/>
      <c r="M21" s="12"/>
      <c r="N21" s="12"/>
      <c r="O21" s="12"/>
      <c r="P21" s="12"/>
      <c r="Q21" s="14"/>
    </row>
    <row r="22" spans="1:17" ht="15" x14ac:dyDescent="0.25">
      <c r="A22" s="13"/>
      <c r="B22" s="13"/>
      <c r="C22" s="34"/>
      <c r="D22" s="13"/>
      <c r="E22" s="34"/>
      <c r="F22" s="76"/>
      <c r="G22" s="43"/>
      <c r="H22" s="25" t="s">
        <v>32</v>
      </c>
      <c r="I22" s="17"/>
      <c r="J22" s="26"/>
      <c r="K22" s="49"/>
      <c r="L22" s="47"/>
      <c r="M22" s="12"/>
      <c r="N22" s="12"/>
      <c r="O22" s="12"/>
      <c r="P22" s="12"/>
      <c r="Q22" s="14"/>
    </row>
    <row r="23" spans="1:17" x14ac:dyDescent="0.2">
      <c r="A23" s="13"/>
      <c r="B23" s="13"/>
      <c r="C23" s="13"/>
      <c r="D23" s="13"/>
      <c r="E23" s="13"/>
      <c r="F23" s="15"/>
      <c r="G23" s="43"/>
      <c r="H23" s="26" t="s">
        <v>75</v>
      </c>
      <c r="I23" s="4">
        <v>544.97747480793748</v>
      </c>
      <c r="J23" s="11"/>
      <c r="K23" s="67"/>
      <c r="L23" s="12"/>
      <c r="M23" s="12"/>
      <c r="N23" s="12"/>
      <c r="O23" s="12"/>
      <c r="P23" s="12"/>
      <c r="Q23" s="14"/>
    </row>
    <row r="24" spans="1:17" x14ac:dyDescent="0.2">
      <c r="A24" s="13"/>
      <c r="B24" s="13"/>
      <c r="C24" s="13"/>
      <c r="D24" s="13"/>
      <c r="E24" s="13"/>
      <c r="F24" s="15"/>
      <c r="G24" s="43"/>
      <c r="H24" s="26" t="s">
        <v>76</v>
      </c>
      <c r="I24" s="4">
        <v>140.66766513211647</v>
      </c>
      <c r="J24" s="11"/>
      <c r="K24" s="67"/>
      <c r="L24" s="12"/>
      <c r="M24" s="12"/>
      <c r="N24" s="12"/>
      <c r="O24" s="12"/>
      <c r="P24" s="12"/>
      <c r="Q24" s="14"/>
    </row>
    <row r="25" spans="1:17" x14ac:dyDescent="0.2">
      <c r="A25" s="13"/>
      <c r="B25" s="13"/>
      <c r="C25" s="13"/>
      <c r="D25" s="13"/>
      <c r="E25" s="13"/>
      <c r="F25" s="15"/>
      <c r="G25" s="43"/>
      <c r="H25" s="26" t="s">
        <v>77</v>
      </c>
      <c r="I25" s="4">
        <v>25.811647569780927</v>
      </c>
      <c r="J25" s="11"/>
      <c r="K25" s="67"/>
      <c r="L25" s="12"/>
      <c r="M25" s="12"/>
      <c r="N25" s="12"/>
      <c r="O25" s="12"/>
      <c r="P25" s="12"/>
      <c r="Q25" s="14"/>
    </row>
    <row r="26" spans="1:17" x14ac:dyDescent="0.2">
      <c r="A26" s="13"/>
      <c r="B26" s="13"/>
      <c r="C26" s="74"/>
      <c r="D26" s="13"/>
      <c r="E26" s="13"/>
      <c r="F26" s="15"/>
      <c r="G26" s="43"/>
      <c r="H26" s="26"/>
      <c r="I26" s="4"/>
      <c r="J26" s="11"/>
      <c r="K26" s="67"/>
      <c r="L26" s="12"/>
      <c r="M26" s="12"/>
      <c r="N26" s="12"/>
      <c r="O26" s="12"/>
      <c r="P26" s="12"/>
      <c r="Q26" s="14"/>
    </row>
    <row r="27" spans="1:17" ht="15" x14ac:dyDescent="0.25">
      <c r="A27" s="13"/>
      <c r="B27" s="13"/>
      <c r="C27" s="74"/>
      <c r="D27" s="13"/>
      <c r="E27" s="13"/>
      <c r="F27" s="15"/>
      <c r="G27" s="43"/>
      <c r="H27" s="25" t="s">
        <v>39</v>
      </c>
      <c r="I27" s="17"/>
      <c r="J27" s="11"/>
      <c r="K27" s="125"/>
      <c r="L27" s="12"/>
      <c r="M27" s="12"/>
      <c r="N27" s="12"/>
      <c r="O27" s="12"/>
      <c r="P27" s="12"/>
      <c r="Q27" s="14"/>
    </row>
    <row r="28" spans="1:17" x14ac:dyDescent="0.2">
      <c r="A28" s="13"/>
      <c r="B28" s="13"/>
      <c r="C28" s="34"/>
      <c r="D28" s="13"/>
      <c r="E28" s="13"/>
      <c r="F28" s="15"/>
      <c r="G28" s="43"/>
      <c r="H28" s="26" t="s">
        <v>79</v>
      </c>
      <c r="I28" s="4">
        <v>138.45000000000005</v>
      </c>
      <c r="J28" s="11"/>
      <c r="K28" s="67"/>
      <c r="L28" s="12"/>
      <c r="M28" s="12"/>
      <c r="N28" s="12"/>
      <c r="O28" s="12"/>
      <c r="P28" s="12"/>
      <c r="Q28" s="14"/>
    </row>
    <row r="29" spans="1:17" x14ac:dyDescent="0.2">
      <c r="A29" s="13"/>
      <c r="B29" s="13"/>
      <c r="C29" s="13"/>
      <c r="D29" s="13"/>
      <c r="E29" s="13"/>
      <c r="F29" s="15"/>
      <c r="G29" s="43"/>
      <c r="H29" s="26" t="s">
        <v>80</v>
      </c>
      <c r="I29" s="4">
        <v>16.399999999999999</v>
      </c>
      <c r="J29" s="14"/>
      <c r="K29" s="67"/>
      <c r="L29" s="12"/>
      <c r="M29" s="12"/>
      <c r="N29" s="12"/>
      <c r="O29" s="12"/>
      <c r="P29" s="12"/>
      <c r="Q29" s="14"/>
    </row>
    <row r="30" spans="1:17" x14ac:dyDescent="0.2">
      <c r="A30" s="13"/>
      <c r="B30" s="13"/>
      <c r="C30" s="13"/>
      <c r="D30" s="13"/>
      <c r="E30" s="13"/>
      <c r="F30" s="13"/>
      <c r="G30" s="43"/>
      <c r="H30" s="26" t="s">
        <v>81</v>
      </c>
      <c r="I30" s="22">
        <v>0</v>
      </c>
      <c r="J30" s="14"/>
      <c r="K30" s="67"/>
      <c r="L30" s="12"/>
      <c r="M30" s="12"/>
      <c r="N30" s="12"/>
      <c r="O30" s="12"/>
      <c r="P30" s="12"/>
      <c r="Q30" s="14"/>
    </row>
    <row r="31" spans="1:17" x14ac:dyDescent="0.2">
      <c r="A31" s="13"/>
      <c r="B31" s="13"/>
      <c r="C31" s="13"/>
      <c r="D31" s="13"/>
      <c r="E31" s="13"/>
      <c r="F31" s="14"/>
      <c r="G31" s="43"/>
      <c r="H31" s="26" t="s">
        <v>78</v>
      </c>
      <c r="I31" s="22">
        <v>0</v>
      </c>
      <c r="J31" s="14"/>
      <c r="K31" s="67"/>
      <c r="L31" s="12"/>
      <c r="M31" s="12"/>
      <c r="N31" s="12"/>
      <c r="O31" s="12"/>
      <c r="P31" s="12"/>
      <c r="Q31" s="14"/>
    </row>
    <row r="32" spans="1:17" x14ac:dyDescent="0.2">
      <c r="A32" s="13"/>
      <c r="B32" s="13"/>
      <c r="C32" s="13"/>
      <c r="D32" s="13"/>
      <c r="E32" s="13"/>
      <c r="G32" s="43"/>
      <c r="H32" s="26"/>
      <c r="I32" s="22"/>
      <c r="J32" s="14"/>
      <c r="K32" s="67"/>
      <c r="L32" s="12"/>
      <c r="M32" s="12"/>
      <c r="N32" s="12"/>
      <c r="O32" s="12"/>
      <c r="P32" s="12"/>
      <c r="Q32" s="14"/>
    </row>
    <row r="33" spans="1:17" x14ac:dyDescent="0.2">
      <c r="A33" s="13"/>
      <c r="B33" s="13"/>
      <c r="C33" s="13"/>
      <c r="D33" s="13"/>
      <c r="E33" s="13"/>
      <c r="F33" s="14"/>
      <c r="G33" s="43"/>
      <c r="H33" s="26" t="s">
        <v>82</v>
      </c>
      <c r="I33" s="22">
        <v>0.28393071807690262</v>
      </c>
      <c r="J33" s="14"/>
      <c r="K33" s="67"/>
      <c r="L33" s="12"/>
      <c r="M33" s="12"/>
      <c r="N33" s="12"/>
      <c r="O33" s="12"/>
      <c r="P33" s="12"/>
      <c r="Q33" s="14"/>
    </row>
    <row r="34" spans="1:17" x14ac:dyDescent="0.2">
      <c r="A34" s="13"/>
      <c r="B34" s="13"/>
      <c r="C34" s="13"/>
      <c r="D34" s="13"/>
      <c r="E34" s="13"/>
      <c r="F34" s="14"/>
      <c r="G34" s="43"/>
      <c r="H34" s="26" t="s">
        <v>88</v>
      </c>
      <c r="I34" s="22">
        <v>0.37982283171182657</v>
      </c>
      <c r="J34" s="14"/>
      <c r="K34" s="67"/>
      <c r="L34" s="12"/>
      <c r="M34" s="12"/>
      <c r="N34" s="12"/>
      <c r="O34" s="12"/>
      <c r="P34" s="12"/>
      <c r="Q34" s="14"/>
    </row>
    <row r="35" spans="1:17" x14ac:dyDescent="0.2">
      <c r="A35" s="13"/>
      <c r="B35" s="13"/>
      <c r="C35" s="13"/>
      <c r="D35" s="13"/>
      <c r="E35" s="13"/>
      <c r="F35" s="14"/>
      <c r="G35" s="43"/>
      <c r="H35" s="26" t="s">
        <v>83</v>
      </c>
      <c r="I35" s="22">
        <v>57.828153672026176</v>
      </c>
      <c r="J35" s="14"/>
      <c r="K35" s="67"/>
      <c r="L35" s="42"/>
      <c r="M35" s="42"/>
      <c r="N35" s="12"/>
      <c r="O35" s="42"/>
      <c r="P35" s="12"/>
      <c r="Q35" s="14"/>
    </row>
    <row r="36" spans="1:17" x14ac:dyDescent="0.2">
      <c r="A36" s="13"/>
      <c r="B36" s="13"/>
      <c r="C36" s="13"/>
      <c r="D36" s="13"/>
      <c r="E36" s="13"/>
      <c r="F36" s="14"/>
      <c r="G36" s="43"/>
      <c r="H36" s="26" t="s">
        <v>89</v>
      </c>
      <c r="I36" s="22">
        <v>112.3366222871807</v>
      </c>
      <c r="J36" s="14"/>
      <c r="K36" s="67"/>
      <c r="L36" s="14"/>
      <c r="M36" s="12"/>
      <c r="N36" s="14"/>
      <c r="O36" s="14"/>
      <c r="P36" s="14"/>
      <c r="Q36" s="14"/>
    </row>
    <row r="37" spans="1:17" x14ac:dyDescent="0.2">
      <c r="A37" s="13"/>
      <c r="B37" s="13"/>
      <c r="C37" s="13"/>
      <c r="D37" s="13"/>
      <c r="E37" s="13"/>
      <c r="F37" s="14"/>
      <c r="G37" s="43"/>
      <c r="H37" s="26" t="s">
        <v>90</v>
      </c>
      <c r="I37" s="22">
        <v>0</v>
      </c>
      <c r="J37" s="14"/>
      <c r="K37" s="67"/>
      <c r="L37" s="10"/>
      <c r="M37" s="14"/>
      <c r="N37" s="14"/>
      <c r="O37" s="14"/>
      <c r="P37" s="14"/>
      <c r="Q37" s="14"/>
    </row>
    <row r="38" spans="1:17" x14ac:dyDescent="0.2">
      <c r="F38" s="14"/>
      <c r="G38" s="43"/>
      <c r="H38" s="26"/>
      <c r="I38" s="22"/>
      <c r="J38" s="14"/>
      <c r="K38" s="67"/>
      <c r="M38" s="14"/>
      <c r="N38" s="14"/>
      <c r="O38" s="14"/>
      <c r="P38" s="14"/>
      <c r="Q38" s="14"/>
    </row>
    <row r="39" spans="1:17" x14ac:dyDescent="0.2">
      <c r="F39" s="13"/>
      <c r="G39" s="43"/>
      <c r="H39" s="26" t="s">
        <v>84</v>
      </c>
      <c r="I39" s="22">
        <v>170.16477595920688</v>
      </c>
      <c r="J39" s="14"/>
      <c r="K39" s="68"/>
    </row>
    <row r="40" spans="1:17" x14ac:dyDescent="0.2">
      <c r="F40" s="14"/>
      <c r="H40" s="26" t="s">
        <v>17</v>
      </c>
      <c r="I40" s="23">
        <v>0.33983621467026137</v>
      </c>
      <c r="K40" s="69"/>
    </row>
    <row r="41" spans="1:17" x14ac:dyDescent="0.2">
      <c r="F41" s="14"/>
      <c r="H41" s="26"/>
      <c r="I41" s="22"/>
    </row>
    <row r="42" spans="1:17" x14ac:dyDescent="0.2">
      <c r="F42" s="14"/>
    </row>
    <row r="43" spans="1:17" x14ac:dyDescent="0.2">
      <c r="F43" s="14"/>
    </row>
    <row r="44" spans="1:17" x14ac:dyDescent="0.2">
      <c r="F44" s="14"/>
    </row>
    <row r="45" spans="1:17" x14ac:dyDescent="0.2">
      <c r="F45" s="14"/>
    </row>
    <row r="46" spans="1:17" x14ac:dyDescent="0.2">
      <c r="F46" s="14"/>
    </row>
    <row r="47" spans="1:17" x14ac:dyDescent="0.2">
      <c r="F47" s="14"/>
    </row>
    <row r="48" spans="1:17" x14ac:dyDescent="0.2">
      <c r="F48" s="14"/>
    </row>
    <row r="49" spans="1:6" x14ac:dyDescent="0.2">
      <c r="F49" s="14"/>
    </row>
    <row r="50" spans="1:6" x14ac:dyDescent="0.2">
      <c r="F50" s="14"/>
    </row>
    <row r="51" spans="1:6" x14ac:dyDescent="0.2">
      <c r="A51" s="14"/>
      <c r="B51" s="14"/>
      <c r="C51" s="14"/>
      <c r="D51" s="14"/>
      <c r="E51" s="14"/>
      <c r="F51" s="14"/>
    </row>
    <row r="52" spans="1:6" x14ac:dyDescent="0.2">
      <c r="A52" s="14"/>
      <c r="B52" s="14"/>
      <c r="C52" s="14"/>
      <c r="D52" s="14"/>
      <c r="E52" s="14"/>
      <c r="F52" s="14"/>
    </row>
    <row r="53" spans="1:6" x14ac:dyDescent="0.2">
      <c r="A53" s="14"/>
      <c r="B53" s="14"/>
      <c r="C53" s="14"/>
      <c r="D53" s="14"/>
      <c r="E53" s="14"/>
      <c r="F53" s="14"/>
    </row>
    <row r="54" spans="1:6" x14ac:dyDescent="0.2">
      <c r="A54" s="14"/>
      <c r="B54" s="14"/>
      <c r="C54" s="14"/>
      <c r="D54" s="14"/>
      <c r="E54" s="14"/>
      <c r="F54" s="14"/>
    </row>
    <row r="55" spans="1:6" x14ac:dyDescent="0.2">
      <c r="A55" s="14"/>
      <c r="B55" s="14"/>
      <c r="C55" s="14"/>
      <c r="D55" s="14"/>
      <c r="E55" s="14"/>
      <c r="F55" s="14"/>
    </row>
    <row r="56" spans="1:6" x14ac:dyDescent="0.2">
      <c r="A56" s="14"/>
      <c r="B56" s="14"/>
      <c r="C56" s="14"/>
      <c r="D56" s="14"/>
      <c r="E56" s="14"/>
      <c r="F56" s="14"/>
    </row>
    <row r="57" spans="1:6" x14ac:dyDescent="0.2">
      <c r="A57" s="14"/>
      <c r="B57" s="14"/>
      <c r="C57" s="14"/>
      <c r="D57" s="14"/>
      <c r="E57" s="14"/>
      <c r="F57" s="14"/>
    </row>
    <row r="58" spans="1:6" x14ac:dyDescent="0.2">
      <c r="A58" s="14"/>
      <c r="B58" s="14"/>
      <c r="C58" s="14"/>
      <c r="D58" s="14"/>
      <c r="E58" s="14"/>
      <c r="F58" s="14"/>
    </row>
    <row r="59" spans="1:6" x14ac:dyDescent="0.2">
      <c r="A59" s="14"/>
      <c r="B59" s="14"/>
      <c r="C59" s="14"/>
      <c r="D59" s="14"/>
      <c r="E59" s="14"/>
      <c r="F59" s="14"/>
    </row>
    <row r="60" spans="1:6" x14ac:dyDescent="0.2">
      <c r="A60" s="14"/>
      <c r="B60" s="14"/>
      <c r="C60" s="14"/>
      <c r="D60" s="14"/>
      <c r="E60" s="14"/>
      <c r="F60" s="14"/>
    </row>
    <row r="61" spans="1:6" x14ac:dyDescent="0.2">
      <c r="A61" s="14"/>
      <c r="B61" s="14"/>
      <c r="C61" s="14"/>
      <c r="D61" s="14"/>
      <c r="E61" s="14"/>
      <c r="F61" s="14"/>
    </row>
    <row r="62" spans="1:6" x14ac:dyDescent="0.2">
      <c r="A62" s="14"/>
      <c r="B62" s="14"/>
      <c r="C62" s="14"/>
      <c r="D62" s="14"/>
      <c r="E62" s="14"/>
      <c r="F62" s="14"/>
    </row>
    <row r="63" spans="1:6" x14ac:dyDescent="0.2">
      <c r="A63" s="14"/>
      <c r="B63" s="14"/>
      <c r="C63" s="14"/>
      <c r="D63" s="14"/>
      <c r="E63" s="14"/>
      <c r="F63" s="14"/>
    </row>
    <row r="64" spans="1:6" x14ac:dyDescent="0.2">
      <c r="A64" s="14"/>
      <c r="B64" s="14"/>
      <c r="C64" s="14"/>
      <c r="D64" s="14"/>
      <c r="E64" s="14"/>
      <c r="F64" s="14"/>
    </row>
    <row r="65" spans="1:6" x14ac:dyDescent="0.2">
      <c r="A65" s="14"/>
      <c r="B65" s="14"/>
      <c r="C65" s="14"/>
      <c r="D65" s="14"/>
      <c r="E65" s="14"/>
      <c r="F65" s="14"/>
    </row>
    <row r="66" spans="1:6" x14ac:dyDescent="0.2">
      <c r="A66" s="14"/>
      <c r="B66" s="14"/>
      <c r="C66" s="14"/>
      <c r="D66" s="14"/>
      <c r="E66" s="14"/>
      <c r="F66" s="14"/>
    </row>
    <row r="67" spans="1:6" x14ac:dyDescent="0.2">
      <c r="A67" s="14"/>
      <c r="B67" s="14"/>
      <c r="C67" s="14"/>
      <c r="D67" s="14"/>
      <c r="E67" s="14"/>
      <c r="F67" s="14"/>
    </row>
    <row r="68" spans="1:6" x14ac:dyDescent="0.2">
      <c r="A68" s="14"/>
      <c r="B68" s="14"/>
      <c r="C68" s="14"/>
      <c r="D68" s="14"/>
      <c r="E68" s="14"/>
      <c r="F68" s="14"/>
    </row>
    <row r="69" spans="1:6" x14ac:dyDescent="0.2">
      <c r="A69" s="14"/>
      <c r="B69" s="14"/>
      <c r="C69" s="14"/>
      <c r="D69" s="14"/>
      <c r="E69" s="14"/>
      <c r="F69" s="14"/>
    </row>
    <row r="70" spans="1:6" x14ac:dyDescent="0.2">
      <c r="A70" s="14"/>
      <c r="B70" s="14"/>
      <c r="C70" s="14"/>
      <c r="D70" s="14"/>
      <c r="E70" s="14"/>
      <c r="F70" s="14"/>
    </row>
    <row r="71" spans="1:6" x14ac:dyDescent="0.2">
      <c r="A71" s="14"/>
      <c r="B71" s="14"/>
      <c r="C71" s="14"/>
      <c r="D71" s="14"/>
      <c r="E71" s="14"/>
      <c r="F71" s="14"/>
    </row>
    <row r="72" spans="1:6" x14ac:dyDescent="0.2">
      <c r="A72" s="14"/>
      <c r="B72" s="14"/>
      <c r="C72" s="14"/>
      <c r="D72" s="14"/>
      <c r="E72" s="14"/>
      <c r="F72" s="14"/>
    </row>
    <row r="73" spans="1:6" x14ac:dyDescent="0.2">
      <c r="A73" s="14"/>
      <c r="B73" s="14"/>
      <c r="C73" s="14"/>
      <c r="D73" s="14"/>
      <c r="E73" s="14"/>
      <c r="F73" s="14"/>
    </row>
    <row r="74" spans="1:6" x14ac:dyDescent="0.2">
      <c r="A74" s="14"/>
      <c r="B74" s="14"/>
      <c r="C74" s="14"/>
      <c r="D74" s="14"/>
      <c r="E74" s="14"/>
      <c r="F74" s="14"/>
    </row>
    <row r="75" spans="1:6" x14ac:dyDescent="0.2">
      <c r="A75" s="14"/>
      <c r="B75" s="14"/>
      <c r="C75" s="14"/>
      <c r="D75" s="14"/>
      <c r="E75" s="14"/>
      <c r="F75" s="14"/>
    </row>
    <row r="76" spans="1:6" x14ac:dyDescent="0.2">
      <c r="A76" s="14"/>
      <c r="B76" s="14"/>
      <c r="C76" s="14"/>
      <c r="D76" s="14"/>
      <c r="E76" s="14"/>
      <c r="F76" s="14"/>
    </row>
    <row r="77" spans="1:6" x14ac:dyDescent="0.2">
      <c r="A77" s="14"/>
      <c r="B77" s="14"/>
      <c r="C77" s="14"/>
      <c r="D77" s="14"/>
      <c r="E77" s="14"/>
      <c r="F77" s="14"/>
    </row>
    <row r="78" spans="1:6" x14ac:dyDescent="0.2">
      <c r="A78" s="14"/>
      <c r="B78" s="14"/>
      <c r="C78" s="14"/>
      <c r="D78" s="14"/>
      <c r="E78" s="14"/>
      <c r="F78" s="14"/>
    </row>
    <row r="79" spans="1:6" x14ac:dyDescent="0.2">
      <c r="A79" s="14"/>
      <c r="B79" s="14"/>
      <c r="C79" s="14"/>
      <c r="D79" s="14"/>
      <c r="E79" s="14"/>
      <c r="F79" s="14"/>
    </row>
    <row r="80" spans="1:6" x14ac:dyDescent="0.2">
      <c r="A80" s="14"/>
      <c r="B80" s="14"/>
      <c r="C80" s="14"/>
      <c r="D80" s="14"/>
      <c r="E80" s="14"/>
      <c r="F80" s="14"/>
    </row>
    <row r="81" spans="1:6" x14ac:dyDescent="0.2">
      <c r="A81" s="14"/>
      <c r="B81" s="14"/>
      <c r="C81" s="14"/>
      <c r="D81" s="14"/>
      <c r="E81" s="14"/>
      <c r="F81" s="14"/>
    </row>
    <row r="82" spans="1:6" x14ac:dyDescent="0.2">
      <c r="A82" s="14"/>
      <c r="B82" s="14"/>
      <c r="C82" s="14"/>
      <c r="D82" s="14"/>
      <c r="E82" s="14"/>
      <c r="F82" s="14"/>
    </row>
    <row r="83" spans="1:6" x14ac:dyDescent="0.2">
      <c r="A83" s="14"/>
      <c r="B83" s="14"/>
      <c r="C83" s="14"/>
      <c r="D83" s="14"/>
      <c r="E83" s="14"/>
      <c r="F83" s="14"/>
    </row>
    <row r="84" spans="1:6" x14ac:dyDescent="0.2">
      <c r="A84" s="14"/>
      <c r="B84" s="14"/>
      <c r="C84" s="14"/>
      <c r="D84" s="14"/>
      <c r="E84" s="14"/>
      <c r="F84" s="14"/>
    </row>
    <row r="85" spans="1:6" x14ac:dyDescent="0.2">
      <c r="A85" s="14"/>
      <c r="B85" s="14"/>
      <c r="C85" s="14"/>
      <c r="D85" s="14"/>
      <c r="E85" s="14"/>
      <c r="F85" s="14"/>
    </row>
    <row r="86" spans="1:6" x14ac:dyDescent="0.2">
      <c r="A86" s="14"/>
      <c r="B86" s="14"/>
      <c r="C86" s="14"/>
      <c r="D86" s="14"/>
      <c r="E86" s="14"/>
      <c r="F86" s="14"/>
    </row>
    <row r="87" spans="1:6" x14ac:dyDescent="0.2">
      <c r="A87" s="14"/>
      <c r="B87" s="14"/>
      <c r="C87" s="14"/>
      <c r="D87" s="14"/>
      <c r="E87" s="14"/>
      <c r="F87" s="14"/>
    </row>
    <row r="88" spans="1:6" x14ac:dyDescent="0.2">
      <c r="A88" s="14"/>
      <c r="B88" s="14"/>
      <c r="C88" s="14"/>
      <c r="D88" s="14"/>
      <c r="E88" s="14"/>
      <c r="F88" s="14"/>
    </row>
    <row r="89" spans="1:6" x14ac:dyDescent="0.2">
      <c r="A89" s="14"/>
      <c r="B89" s="14"/>
      <c r="C89" s="14"/>
      <c r="D89" s="14"/>
      <c r="E89" s="14"/>
      <c r="F89" s="14"/>
    </row>
    <row r="90" spans="1:6" x14ac:dyDescent="0.2">
      <c r="A90" s="14"/>
      <c r="B90" s="14"/>
      <c r="C90" s="14"/>
      <c r="D90" s="14"/>
      <c r="E90" s="14"/>
      <c r="F90" s="14"/>
    </row>
    <row r="91" spans="1:6" x14ac:dyDescent="0.2">
      <c r="A91" s="14"/>
      <c r="B91" s="14"/>
      <c r="C91" s="14"/>
      <c r="D91" s="14"/>
      <c r="E91" s="14"/>
      <c r="F91" s="14"/>
    </row>
    <row r="92" spans="1:6" x14ac:dyDescent="0.2">
      <c r="A92" s="14"/>
      <c r="B92" s="14"/>
      <c r="C92" s="14"/>
      <c r="D92" s="14"/>
      <c r="E92" s="14"/>
      <c r="F92" s="14"/>
    </row>
    <row r="93" spans="1:6" x14ac:dyDescent="0.2">
      <c r="A93" s="14"/>
      <c r="B93" s="14"/>
      <c r="C93" s="14"/>
      <c r="D93" s="14"/>
      <c r="E93" s="14"/>
      <c r="F93" s="14"/>
    </row>
    <row r="94" spans="1:6" x14ac:dyDescent="0.2">
      <c r="A94" s="14"/>
      <c r="B94" s="14"/>
      <c r="C94" s="14"/>
      <c r="D94" s="14"/>
      <c r="E94" s="14"/>
      <c r="F94" s="14"/>
    </row>
    <row r="95" spans="1:6" x14ac:dyDescent="0.2">
      <c r="A95" s="14"/>
      <c r="B95" s="14"/>
      <c r="C95" s="14"/>
      <c r="D95" s="14"/>
      <c r="E95" s="14"/>
      <c r="F95" s="14"/>
    </row>
    <row r="96" spans="1:6" x14ac:dyDescent="0.2">
      <c r="A96" s="14"/>
      <c r="B96" s="14"/>
      <c r="C96" s="14"/>
      <c r="D96" s="14"/>
      <c r="E96" s="14"/>
      <c r="F96" s="14"/>
    </row>
    <row r="97" spans="1:6" x14ac:dyDescent="0.2">
      <c r="A97" s="14"/>
      <c r="B97" s="14"/>
      <c r="C97" s="14"/>
      <c r="D97" s="14"/>
      <c r="E97" s="14"/>
      <c r="F97" s="14"/>
    </row>
    <row r="98" spans="1:6" x14ac:dyDescent="0.2">
      <c r="A98" s="14"/>
      <c r="B98" s="14"/>
      <c r="C98" s="14"/>
      <c r="D98" s="14"/>
      <c r="E98" s="14"/>
      <c r="F98" s="14"/>
    </row>
    <row r="99" spans="1:6" x14ac:dyDescent="0.2">
      <c r="A99" s="14"/>
      <c r="B99" s="14"/>
      <c r="C99" s="14"/>
      <c r="D99" s="14"/>
      <c r="E99" s="14"/>
      <c r="F99" s="14"/>
    </row>
    <row r="100" spans="1:6" x14ac:dyDescent="0.2">
      <c r="A100" s="14"/>
      <c r="B100" s="14"/>
      <c r="C100" s="14"/>
      <c r="D100" s="14"/>
      <c r="E100" s="14"/>
      <c r="F100" s="14"/>
    </row>
    <row r="101" spans="1:6" x14ac:dyDescent="0.2">
      <c r="A101" s="14"/>
      <c r="B101" s="14"/>
      <c r="C101" s="14"/>
      <c r="D101" s="14"/>
      <c r="E101" s="14"/>
      <c r="F101" s="14"/>
    </row>
    <row r="102" spans="1:6" x14ac:dyDescent="0.2">
      <c r="A102" s="14"/>
      <c r="B102" s="14"/>
      <c r="C102" s="14"/>
      <c r="D102" s="14"/>
      <c r="E102" s="14"/>
      <c r="F102" s="14"/>
    </row>
    <row r="103" spans="1:6" x14ac:dyDescent="0.2">
      <c r="A103" s="14"/>
      <c r="B103" s="14"/>
      <c r="C103" s="14"/>
      <c r="D103" s="14"/>
      <c r="E103" s="14"/>
      <c r="F103" s="14"/>
    </row>
    <row r="104" spans="1:6" x14ac:dyDescent="0.2">
      <c r="A104" s="14"/>
      <c r="B104" s="14"/>
      <c r="C104" s="14"/>
      <c r="D104" s="14"/>
      <c r="E104" s="14"/>
      <c r="F104" s="14"/>
    </row>
    <row r="105" spans="1:6" x14ac:dyDescent="0.2">
      <c r="A105" s="14"/>
      <c r="B105" s="14"/>
      <c r="C105" s="14"/>
      <c r="D105" s="14"/>
      <c r="E105" s="14"/>
      <c r="F105" s="14"/>
    </row>
    <row r="106" spans="1:6" x14ac:dyDescent="0.2">
      <c r="A106" s="14"/>
      <c r="B106" s="14"/>
      <c r="C106" s="14"/>
      <c r="D106" s="14"/>
      <c r="E106" s="14"/>
      <c r="F106" s="14"/>
    </row>
    <row r="107" spans="1:6" x14ac:dyDescent="0.2">
      <c r="A107" s="14"/>
      <c r="B107" s="14"/>
      <c r="C107" s="14"/>
      <c r="D107" s="14"/>
      <c r="E107" s="14"/>
      <c r="F107" s="14"/>
    </row>
    <row r="108" spans="1:6" x14ac:dyDescent="0.2">
      <c r="A108" s="14"/>
      <c r="B108" s="14"/>
      <c r="C108" s="14"/>
      <c r="D108" s="14"/>
      <c r="E108" s="14"/>
      <c r="F108" s="14"/>
    </row>
    <row r="109" spans="1:6" x14ac:dyDescent="0.2">
      <c r="A109" s="14"/>
      <c r="B109" s="14"/>
      <c r="C109" s="14"/>
      <c r="D109" s="14"/>
      <c r="E109" s="14"/>
      <c r="F109" s="14"/>
    </row>
    <row r="110" spans="1:6" x14ac:dyDescent="0.2">
      <c r="F110" s="14"/>
    </row>
    <row r="111" spans="1:6" x14ac:dyDescent="0.2">
      <c r="F111" s="14"/>
    </row>
    <row r="112" spans="1:6" x14ac:dyDescent="0.2">
      <c r="F112" s="14"/>
    </row>
    <row r="113" spans="6:6" x14ac:dyDescent="0.2">
      <c r="F113" s="14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sm_sorghum_mlayer">
                <anchor moveWithCells="1" sizeWithCells="1">
                  <from>
                    <xdr:col>6</xdr:col>
                    <xdr:colOff>47625</xdr:colOff>
                    <xdr:row>3</xdr:row>
                    <xdr:rowOff>0</xdr:rowOff>
                  </from>
                  <to>
                    <xdr:col>6</xdr:col>
                    <xdr:colOff>752475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A13C-C763-4267-854F-153E228D19D1}">
  <sheetPr codeName="Sheet4"/>
  <dimension ref="D1:BI136"/>
  <sheetViews>
    <sheetView zoomScale="75" workbookViewId="0">
      <pane xSplit="8" ySplit="1" topLeftCell="I89" activePane="bottomRight" state="frozen"/>
      <selection pane="topRight" activeCell="I1" sqref="I1"/>
      <selection pane="bottomLeft" activeCell="A3" sqref="A3"/>
      <selection pane="bottomRight" sqref="A1:IV65536"/>
    </sheetView>
  </sheetViews>
  <sheetFormatPr defaultColWidth="13.7109375" defaultRowHeight="15.75" customHeight="1" x14ac:dyDescent="0.2"/>
  <cols>
    <col min="1" max="3" width="13.7109375" style="3" customWidth="1"/>
    <col min="4" max="5" width="13.7109375" style="28" customWidth="1"/>
    <col min="6" max="8" width="13.7109375" style="32" customWidth="1"/>
    <col min="9" max="12" width="13.7109375" style="28" customWidth="1"/>
    <col min="13" max="21" width="13.7109375" style="30" customWidth="1"/>
    <col min="22" max="27" width="13.7109375" style="32" customWidth="1"/>
    <col min="28" max="34" width="13.7109375" style="28" customWidth="1"/>
    <col min="35" max="35" width="13.7109375" style="32" customWidth="1"/>
    <col min="36" max="36" width="13.7109375" style="30" customWidth="1"/>
    <col min="37" max="43" width="13.7109375" style="32" customWidth="1"/>
    <col min="44" max="61" width="13.7109375" style="30" customWidth="1"/>
    <col min="62" max="16384" width="13.7109375" style="3"/>
  </cols>
  <sheetData>
    <row r="1" spans="4:61" s="7" customFormat="1" ht="15.75" customHeight="1" x14ac:dyDescent="0.2">
      <c r="D1" s="27"/>
      <c r="E1" s="27"/>
      <c r="F1" s="31"/>
      <c r="G1" s="31"/>
      <c r="H1" s="31"/>
      <c r="I1" s="27"/>
      <c r="J1" s="27"/>
      <c r="K1" s="27"/>
      <c r="L1" s="27"/>
      <c r="M1" s="29"/>
      <c r="N1" s="29"/>
      <c r="O1" s="29"/>
      <c r="P1" s="29"/>
      <c r="Q1" s="29"/>
      <c r="R1" s="29"/>
      <c r="S1" s="29"/>
      <c r="T1" s="29"/>
      <c r="U1" s="29"/>
      <c r="V1" s="31"/>
      <c r="W1" s="31"/>
      <c r="X1" s="31"/>
      <c r="Y1" s="31"/>
      <c r="Z1" s="31"/>
      <c r="AA1" s="31"/>
      <c r="AB1" s="27"/>
      <c r="AC1" s="27"/>
      <c r="AD1" s="27"/>
      <c r="AE1" s="27"/>
      <c r="AF1" s="27"/>
      <c r="AG1" s="27"/>
      <c r="AH1" s="27"/>
      <c r="AI1" s="31"/>
      <c r="AJ1" s="29"/>
      <c r="AK1" s="31"/>
      <c r="AL1" s="31"/>
      <c r="AM1" s="31"/>
      <c r="AN1" s="31"/>
      <c r="AO1" s="31"/>
      <c r="AP1" s="31"/>
      <c r="AQ1" s="31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</row>
    <row r="16" spans="4:61" ht="15.75" customHeight="1" x14ac:dyDescent="0.2">
      <c r="H16" s="164"/>
    </row>
    <row r="17" spans="8:8" ht="15.75" customHeight="1" x14ac:dyDescent="0.2">
      <c r="H17" s="164"/>
    </row>
    <row r="18" spans="8:8" ht="15.75" customHeight="1" x14ac:dyDescent="0.2">
      <c r="H18" s="164"/>
    </row>
    <row r="19" spans="8:8" ht="15.75" customHeight="1" x14ac:dyDescent="0.2">
      <c r="H19" s="164"/>
    </row>
    <row r="20" spans="8:8" ht="15.75" customHeight="1" x14ac:dyDescent="0.2">
      <c r="H20" s="164"/>
    </row>
    <row r="21" spans="8:8" ht="15.75" customHeight="1" x14ac:dyDescent="0.2">
      <c r="H21" s="164"/>
    </row>
    <row r="22" spans="8:8" ht="15.75" customHeight="1" x14ac:dyDescent="0.2">
      <c r="H22" s="164"/>
    </row>
    <row r="23" spans="8:8" ht="15.75" customHeight="1" x14ac:dyDescent="0.2">
      <c r="H23" s="164"/>
    </row>
    <row r="24" spans="8:8" ht="15.75" customHeight="1" x14ac:dyDescent="0.2">
      <c r="H24" s="164"/>
    </row>
    <row r="25" spans="8:8" ht="15.75" customHeight="1" x14ac:dyDescent="0.2">
      <c r="H25" s="164"/>
    </row>
    <row r="26" spans="8:8" ht="15.75" customHeight="1" x14ac:dyDescent="0.2">
      <c r="H26" s="164"/>
    </row>
    <row r="27" spans="8:8" ht="15.75" customHeight="1" x14ac:dyDescent="0.2">
      <c r="H27" s="164"/>
    </row>
    <row r="28" spans="8:8" ht="15.75" customHeight="1" x14ac:dyDescent="0.2">
      <c r="H28" s="164"/>
    </row>
    <row r="29" spans="8:8" ht="15.75" customHeight="1" x14ac:dyDescent="0.2">
      <c r="H29" s="164"/>
    </row>
    <row r="30" spans="8:8" ht="15.75" customHeight="1" x14ac:dyDescent="0.2">
      <c r="H30" s="164"/>
    </row>
    <row r="31" spans="8:8" ht="15.75" customHeight="1" x14ac:dyDescent="0.2">
      <c r="H31" s="164"/>
    </row>
    <row r="32" spans="8:8" ht="15.75" customHeight="1" x14ac:dyDescent="0.2">
      <c r="H32" s="164"/>
    </row>
    <row r="33" spans="8:20" ht="15.75" customHeight="1" x14ac:dyDescent="0.2">
      <c r="H33" s="164"/>
    </row>
    <row r="34" spans="8:20" ht="15.75" customHeight="1" x14ac:dyDescent="0.2">
      <c r="H34" s="164"/>
    </row>
    <row r="35" spans="8:20" ht="15.75" customHeight="1" x14ac:dyDescent="0.2">
      <c r="H35" s="164"/>
    </row>
    <row r="36" spans="8:20" ht="15.75" customHeight="1" x14ac:dyDescent="0.2">
      <c r="H36" s="164"/>
    </row>
    <row r="37" spans="8:20" ht="15.75" customHeight="1" x14ac:dyDescent="0.2">
      <c r="H37" s="164"/>
    </row>
    <row r="38" spans="8:20" ht="15.75" customHeight="1" x14ac:dyDescent="0.2">
      <c r="H38" s="164"/>
    </row>
    <row r="39" spans="8:20" ht="15.75" customHeight="1" x14ac:dyDescent="0.2">
      <c r="H39" s="164"/>
    </row>
    <row r="40" spans="8:20" ht="15.75" customHeight="1" x14ac:dyDescent="0.2">
      <c r="H40" s="164"/>
    </row>
    <row r="41" spans="8:20" ht="15.75" customHeight="1" x14ac:dyDescent="0.2">
      <c r="H41" s="164"/>
    </row>
    <row r="42" spans="8:20" ht="15.75" customHeight="1" x14ac:dyDescent="0.2">
      <c r="H42" s="164"/>
    </row>
    <row r="43" spans="8:20" ht="15.75" customHeight="1" x14ac:dyDescent="0.2">
      <c r="H43" s="164"/>
    </row>
    <row r="44" spans="8:20" ht="15.75" customHeight="1" x14ac:dyDescent="0.2">
      <c r="H44" s="164"/>
    </row>
    <row r="45" spans="8:20" ht="15.75" customHeight="1" x14ac:dyDescent="0.2">
      <c r="H45" s="164"/>
    </row>
    <row r="46" spans="8:20" ht="15.75" customHeight="1" x14ac:dyDescent="0.2">
      <c r="H46" s="164"/>
    </row>
    <row r="47" spans="8:20" ht="15.75" customHeight="1" x14ac:dyDescent="0.2">
      <c r="H47" s="164"/>
      <c r="T47" s="151"/>
    </row>
    <row r="48" spans="8:20" ht="15.75" customHeight="1" x14ac:dyDescent="0.2">
      <c r="H48" s="164"/>
    </row>
    <row r="49" spans="8:8" ht="15.75" customHeight="1" x14ac:dyDescent="0.2">
      <c r="H49" s="164"/>
    </row>
    <row r="50" spans="8:8" ht="15.75" customHeight="1" x14ac:dyDescent="0.2">
      <c r="H50" s="164"/>
    </row>
    <row r="51" spans="8:8" ht="15.75" customHeight="1" x14ac:dyDescent="0.2">
      <c r="H51" s="164"/>
    </row>
    <row r="52" spans="8:8" ht="15.75" customHeight="1" x14ac:dyDescent="0.2">
      <c r="H52" s="164"/>
    </row>
    <row r="53" spans="8:8" ht="15.75" customHeight="1" x14ac:dyDescent="0.2">
      <c r="H53" s="164"/>
    </row>
    <row r="54" spans="8:8" ht="15.75" customHeight="1" x14ac:dyDescent="0.2">
      <c r="H54" s="164"/>
    </row>
    <row r="55" spans="8:8" ht="15.75" customHeight="1" x14ac:dyDescent="0.2">
      <c r="H55" s="164"/>
    </row>
    <row r="56" spans="8:8" ht="15.75" customHeight="1" x14ac:dyDescent="0.2">
      <c r="H56" s="164"/>
    </row>
    <row r="57" spans="8:8" ht="15.75" customHeight="1" x14ac:dyDescent="0.2">
      <c r="H57" s="164"/>
    </row>
    <row r="58" spans="8:8" ht="15.75" customHeight="1" x14ac:dyDescent="0.2">
      <c r="H58" s="164"/>
    </row>
    <row r="59" spans="8:8" ht="15.75" customHeight="1" x14ac:dyDescent="0.2">
      <c r="H59" s="164"/>
    </row>
    <row r="60" spans="8:8" ht="15.75" customHeight="1" x14ac:dyDescent="0.2">
      <c r="H60" s="164"/>
    </row>
    <row r="61" spans="8:8" ht="15.75" customHeight="1" x14ac:dyDescent="0.2">
      <c r="H61" s="164"/>
    </row>
    <row r="62" spans="8:8" ht="15.75" customHeight="1" x14ac:dyDescent="0.2">
      <c r="H62" s="164"/>
    </row>
    <row r="63" spans="8:8" ht="15.75" customHeight="1" x14ac:dyDescent="0.2">
      <c r="H63" s="164"/>
    </row>
    <row r="64" spans="8:8" ht="15.75" customHeight="1" x14ac:dyDescent="0.2">
      <c r="H64" s="164"/>
    </row>
    <row r="65" spans="8:8" ht="15.75" customHeight="1" x14ac:dyDescent="0.2">
      <c r="H65" s="164"/>
    </row>
    <row r="66" spans="8:8" ht="15.75" customHeight="1" x14ac:dyDescent="0.2">
      <c r="H66" s="164"/>
    </row>
    <row r="67" spans="8:8" ht="15.75" customHeight="1" x14ac:dyDescent="0.2">
      <c r="H67" s="164"/>
    </row>
    <row r="68" spans="8:8" ht="15.75" customHeight="1" x14ac:dyDescent="0.2">
      <c r="H68" s="164"/>
    </row>
    <row r="69" spans="8:8" ht="15.75" customHeight="1" x14ac:dyDescent="0.2">
      <c r="H69" s="164"/>
    </row>
    <row r="70" spans="8:8" ht="15.75" customHeight="1" x14ac:dyDescent="0.2">
      <c r="H70" s="164"/>
    </row>
    <row r="71" spans="8:8" ht="15.75" customHeight="1" x14ac:dyDescent="0.2">
      <c r="H71" s="164"/>
    </row>
    <row r="72" spans="8:8" ht="15.75" customHeight="1" x14ac:dyDescent="0.2">
      <c r="H72" s="164"/>
    </row>
    <row r="73" spans="8:8" ht="15.75" customHeight="1" x14ac:dyDescent="0.2">
      <c r="H73" s="164"/>
    </row>
    <row r="74" spans="8:8" ht="15.75" customHeight="1" x14ac:dyDescent="0.2">
      <c r="H74" s="164"/>
    </row>
    <row r="75" spans="8:8" ht="15.75" customHeight="1" x14ac:dyDescent="0.2">
      <c r="H75" s="164"/>
    </row>
    <row r="76" spans="8:8" ht="15.75" customHeight="1" x14ac:dyDescent="0.2">
      <c r="H76" s="164"/>
    </row>
    <row r="77" spans="8:8" ht="15.75" customHeight="1" x14ac:dyDescent="0.2">
      <c r="H77" s="164"/>
    </row>
    <row r="78" spans="8:8" ht="15.75" customHeight="1" x14ac:dyDescent="0.2">
      <c r="H78" s="164"/>
    </row>
    <row r="79" spans="8:8" ht="15.75" customHeight="1" x14ac:dyDescent="0.2">
      <c r="H79" s="164"/>
    </row>
    <row r="80" spans="8:8" ht="15.75" customHeight="1" x14ac:dyDescent="0.2">
      <c r="H80" s="164"/>
    </row>
    <row r="81" spans="8:8" ht="15.75" customHeight="1" x14ac:dyDescent="0.2">
      <c r="H81" s="164"/>
    </row>
    <row r="82" spans="8:8" ht="15.75" customHeight="1" x14ac:dyDescent="0.2">
      <c r="H82" s="164"/>
    </row>
    <row r="83" spans="8:8" ht="15.75" customHeight="1" x14ac:dyDescent="0.2">
      <c r="H83" s="164"/>
    </row>
    <row r="84" spans="8:8" ht="15.75" customHeight="1" x14ac:dyDescent="0.2">
      <c r="H84" s="164"/>
    </row>
    <row r="85" spans="8:8" ht="15.75" customHeight="1" x14ac:dyDescent="0.2">
      <c r="H85" s="164"/>
    </row>
    <row r="86" spans="8:8" ht="15.75" customHeight="1" x14ac:dyDescent="0.2">
      <c r="H86" s="164"/>
    </row>
    <row r="87" spans="8:8" ht="15.75" customHeight="1" x14ac:dyDescent="0.2">
      <c r="H87" s="164"/>
    </row>
    <row r="88" spans="8:8" ht="15.75" customHeight="1" x14ac:dyDescent="0.2">
      <c r="H88" s="164"/>
    </row>
    <row r="89" spans="8:8" ht="15.75" customHeight="1" x14ac:dyDescent="0.2">
      <c r="H89" s="164"/>
    </row>
    <row r="90" spans="8:8" ht="15.75" customHeight="1" x14ac:dyDescent="0.2">
      <c r="H90" s="164"/>
    </row>
    <row r="91" spans="8:8" ht="15.75" customHeight="1" x14ac:dyDescent="0.2">
      <c r="H91" s="164"/>
    </row>
    <row r="92" spans="8:8" ht="15.75" customHeight="1" x14ac:dyDescent="0.2">
      <c r="H92" s="164"/>
    </row>
    <row r="93" spans="8:8" ht="15.75" customHeight="1" x14ac:dyDescent="0.2">
      <c r="H93" s="164"/>
    </row>
    <row r="94" spans="8:8" ht="15.75" customHeight="1" x14ac:dyDescent="0.2">
      <c r="H94" s="164"/>
    </row>
    <row r="95" spans="8:8" ht="15.75" customHeight="1" x14ac:dyDescent="0.2">
      <c r="H95" s="164"/>
    </row>
    <row r="96" spans="8:8" ht="15.75" customHeight="1" x14ac:dyDescent="0.2">
      <c r="H96" s="164"/>
    </row>
    <row r="97" spans="8:8" ht="15.75" customHeight="1" x14ac:dyDescent="0.2">
      <c r="H97" s="164"/>
    </row>
    <row r="98" spans="8:8" ht="15.75" customHeight="1" x14ac:dyDescent="0.2">
      <c r="H98" s="164"/>
    </row>
    <row r="99" spans="8:8" ht="15.75" customHeight="1" x14ac:dyDescent="0.2">
      <c r="H99" s="164"/>
    </row>
    <row r="100" spans="8:8" ht="15.75" customHeight="1" x14ac:dyDescent="0.2">
      <c r="H100" s="164"/>
    </row>
    <row r="101" spans="8:8" ht="15.75" customHeight="1" x14ac:dyDescent="0.2">
      <c r="H101" s="164"/>
    </row>
    <row r="102" spans="8:8" ht="15.75" customHeight="1" x14ac:dyDescent="0.2">
      <c r="H102" s="164"/>
    </row>
    <row r="103" spans="8:8" ht="15.75" customHeight="1" x14ac:dyDescent="0.2">
      <c r="H103" s="164"/>
    </row>
    <row r="104" spans="8:8" ht="15.75" customHeight="1" x14ac:dyDescent="0.2">
      <c r="H104" s="164"/>
    </row>
    <row r="105" spans="8:8" ht="15.75" customHeight="1" x14ac:dyDescent="0.2">
      <c r="H105" s="164"/>
    </row>
    <row r="106" spans="8:8" ht="15.75" customHeight="1" x14ac:dyDescent="0.2">
      <c r="H106" s="164"/>
    </row>
    <row r="107" spans="8:8" ht="15.75" customHeight="1" x14ac:dyDescent="0.2">
      <c r="H107" s="164"/>
    </row>
    <row r="108" spans="8:8" ht="15.75" customHeight="1" x14ac:dyDescent="0.2">
      <c r="H108" s="164"/>
    </row>
    <row r="109" spans="8:8" ht="15.75" customHeight="1" x14ac:dyDescent="0.2">
      <c r="H109" s="164"/>
    </row>
    <row r="110" spans="8:8" ht="15.75" customHeight="1" x14ac:dyDescent="0.2">
      <c r="H110" s="164"/>
    </row>
    <row r="111" spans="8:8" ht="15.75" customHeight="1" x14ac:dyDescent="0.2">
      <c r="H111" s="164"/>
    </row>
    <row r="112" spans="8:8" ht="15.75" customHeight="1" x14ac:dyDescent="0.2">
      <c r="H112" s="164"/>
    </row>
    <row r="113" spans="8:8" ht="15.75" customHeight="1" x14ac:dyDescent="0.2">
      <c r="H113" s="164"/>
    </row>
    <row r="114" spans="8:8" ht="15.75" customHeight="1" x14ac:dyDescent="0.2">
      <c r="H114" s="164"/>
    </row>
    <row r="115" spans="8:8" ht="15.75" customHeight="1" x14ac:dyDescent="0.2">
      <c r="H115" s="164"/>
    </row>
    <row r="116" spans="8:8" ht="15.75" customHeight="1" x14ac:dyDescent="0.2">
      <c r="H116" s="164"/>
    </row>
    <row r="117" spans="8:8" ht="15.75" customHeight="1" x14ac:dyDescent="0.2">
      <c r="H117" s="164"/>
    </row>
    <row r="118" spans="8:8" ht="15.75" customHeight="1" x14ac:dyDescent="0.2">
      <c r="H118" s="164"/>
    </row>
    <row r="119" spans="8:8" ht="15.75" customHeight="1" x14ac:dyDescent="0.2">
      <c r="H119" s="164"/>
    </row>
    <row r="120" spans="8:8" ht="15.75" customHeight="1" x14ac:dyDescent="0.2">
      <c r="H120" s="164"/>
    </row>
    <row r="121" spans="8:8" ht="15.75" customHeight="1" x14ac:dyDescent="0.2">
      <c r="H121" s="164"/>
    </row>
    <row r="122" spans="8:8" ht="15.75" customHeight="1" x14ac:dyDescent="0.2">
      <c r="H122" s="164"/>
    </row>
    <row r="123" spans="8:8" ht="15.75" customHeight="1" x14ac:dyDescent="0.2">
      <c r="H123" s="164"/>
    </row>
    <row r="124" spans="8:8" ht="15.75" customHeight="1" x14ac:dyDescent="0.2">
      <c r="H124" s="164"/>
    </row>
    <row r="125" spans="8:8" ht="15.75" customHeight="1" x14ac:dyDescent="0.2">
      <c r="H125" s="164"/>
    </row>
    <row r="126" spans="8:8" ht="15.75" customHeight="1" x14ac:dyDescent="0.2">
      <c r="H126" s="164"/>
    </row>
    <row r="127" spans="8:8" ht="15.75" customHeight="1" x14ac:dyDescent="0.2">
      <c r="H127" s="164"/>
    </row>
    <row r="128" spans="8:8" ht="15.75" customHeight="1" x14ac:dyDescent="0.2">
      <c r="H128" s="164"/>
    </row>
    <row r="129" spans="8:8" ht="15.75" customHeight="1" x14ac:dyDescent="0.2">
      <c r="H129" s="164"/>
    </row>
    <row r="130" spans="8:8" ht="15.75" customHeight="1" x14ac:dyDescent="0.2">
      <c r="H130" s="164"/>
    </row>
    <row r="131" spans="8:8" ht="15.75" customHeight="1" x14ac:dyDescent="0.2">
      <c r="H131" s="164"/>
    </row>
    <row r="132" spans="8:8" ht="15.75" customHeight="1" x14ac:dyDescent="0.2">
      <c r="H132" s="164"/>
    </row>
    <row r="133" spans="8:8" ht="15.75" customHeight="1" x14ac:dyDescent="0.2">
      <c r="H133" s="164"/>
    </row>
    <row r="134" spans="8:8" ht="15.75" customHeight="1" x14ac:dyDescent="0.2">
      <c r="H134" s="164"/>
    </row>
    <row r="135" spans="8:8" ht="15.75" customHeight="1" x14ac:dyDescent="0.2">
      <c r="H135" s="164"/>
    </row>
    <row r="136" spans="8:8" ht="15.75" customHeight="1" x14ac:dyDescent="0.2">
      <c r="H136" s="164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EA21-8AFC-4028-9CC9-9BBE47A6AE04}">
  <sheetPr codeName="Sheet6"/>
  <dimension ref="L36:M37"/>
  <sheetViews>
    <sheetView zoomScale="90" zoomScaleNormal="90" workbookViewId="0">
      <selection activeCell="Q26" sqref="Q26"/>
    </sheetView>
  </sheetViews>
  <sheetFormatPr defaultRowHeight="12.75" x14ac:dyDescent="0.2"/>
  <sheetData>
    <row r="36" spans="12:13" x14ac:dyDescent="0.2">
      <c r="L36">
        <v>0</v>
      </c>
      <c r="M36">
        <v>0.4</v>
      </c>
    </row>
    <row r="37" spans="12:13" x14ac:dyDescent="0.2">
      <c r="L37">
        <v>300</v>
      </c>
      <c r="M37">
        <v>0.4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6F571-7D08-4696-B4A0-6D5966B9A50B}">
  <sheetPr codeName="Sheet10"/>
  <dimension ref="A1:AT44"/>
  <sheetViews>
    <sheetView zoomScale="80" zoomScaleNormal="80" workbookViewId="0">
      <pane xSplit="7" ySplit="1" topLeftCell="Q2" activePane="bottomRight" state="frozen"/>
      <selection pane="topRight" activeCell="H1" sqref="H1"/>
      <selection pane="bottomLeft" activeCell="A3" sqref="A3"/>
      <selection pane="bottomRight" activeCell="Q32" sqref="Q32"/>
    </sheetView>
  </sheetViews>
  <sheetFormatPr defaultColWidth="12.85546875" defaultRowHeight="12.75" x14ac:dyDescent="0.2"/>
  <cols>
    <col min="1" max="1" width="15.42578125" style="32" customWidth="1"/>
    <col min="2" max="2" width="12.85546875" style="32" customWidth="1"/>
    <col min="3" max="3" width="17.28515625" style="32" customWidth="1"/>
    <col min="4" max="17" width="12.85546875" style="32" customWidth="1"/>
    <col min="18" max="19" width="12.85546875" style="30" customWidth="1"/>
    <col min="20" max="22" width="12.85546875" style="28" customWidth="1"/>
    <col min="23" max="23" width="12.85546875" style="30" customWidth="1"/>
    <col min="24" max="33" width="12.85546875" style="32" customWidth="1"/>
    <col min="34" max="46" width="12.85546875" style="30" customWidth="1"/>
    <col min="47" max="16384" width="12.85546875" style="3"/>
  </cols>
  <sheetData>
    <row r="1" spans="1:46" s="7" customFormat="1" ht="16.5" customHeight="1" x14ac:dyDescent="0.2">
      <c r="A1" s="31" t="s">
        <v>725</v>
      </c>
      <c r="B1" s="31" t="s">
        <v>676</v>
      </c>
      <c r="C1" s="31" t="s">
        <v>726</v>
      </c>
      <c r="D1" s="31" t="s">
        <v>727</v>
      </c>
      <c r="E1" s="31" t="s">
        <v>728</v>
      </c>
      <c r="F1" s="31" t="s">
        <v>729</v>
      </c>
      <c r="G1" s="31" t="s">
        <v>643</v>
      </c>
      <c r="H1" s="31" t="s">
        <v>730</v>
      </c>
      <c r="I1" s="31" t="s">
        <v>773</v>
      </c>
      <c r="J1" s="31" t="s">
        <v>774</v>
      </c>
      <c r="K1" s="31" t="s">
        <v>775</v>
      </c>
      <c r="L1" s="31" t="s">
        <v>775</v>
      </c>
      <c r="M1" s="31" t="s">
        <v>731</v>
      </c>
      <c r="N1" s="31" t="s">
        <v>732</v>
      </c>
      <c r="O1" s="31" t="s">
        <v>733</v>
      </c>
      <c r="P1" s="31" t="s">
        <v>734</v>
      </c>
      <c r="Q1" s="31" t="s">
        <v>735</v>
      </c>
      <c r="R1" s="29" t="s">
        <v>764</v>
      </c>
      <c r="S1" s="29" t="s">
        <v>736</v>
      </c>
      <c r="T1" s="27" t="s">
        <v>737</v>
      </c>
      <c r="U1" s="27" t="s">
        <v>738</v>
      </c>
      <c r="V1" s="84" t="s">
        <v>739</v>
      </c>
      <c r="W1" s="29" t="s">
        <v>740</v>
      </c>
      <c r="X1" s="31" t="s">
        <v>741</v>
      </c>
      <c r="Y1" s="31" t="s">
        <v>742</v>
      </c>
      <c r="Z1" s="31" t="s">
        <v>743</v>
      </c>
      <c r="AA1" s="31" t="s">
        <v>744</v>
      </c>
      <c r="AB1" s="31" t="s">
        <v>745</v>
      </c>
      <c r="AC1" s="31" t="s">
        <v>746</v>
      </c>
      <c r="AD1" s="31" t="s">
        <v>747</v>
      </c>
      <c r="AE1" s="31" t="s">
        <v>748</v>
      </c>
      <c r="AF1" s="31" t="s">
        <v>749</v>
      </c>
      <c r="AG1" s="31" t="s">
        <v>750</v>
      </c>
      <c r="AH1" s="29" t="s">
        <v>766</v>
      </c>
      <c r="AI1" s="29" t="s">
        <v>751</v>
      </c>
      <c r="AJ1" s="29" t="s">
        <v>752</v>
      </c>
      <c r="AK1" s="29" t="s">
        <v>753</v>
      </c>
      <c r="AL1" s="29" t="s">
        <v>103</v>
      </c>
      <c r="AM1" s="29" t="s">
        <v>754</v>
      </c>
      <c r="AN1" s="29" t="s">
        <v>755</v>
      </c>
      <c r="AO1" s="29" t="s">
        <v>756</v>
      </c>
      <c r="AP1" s="29" t="s">
        <v>757</v>
      </c>
      <c r="AQ1" s="29" t="s">
        <v>758</v>
      </c>
      <c r="AR1" s="29" t="s">
        <v>759</v>
      </c>
      <c r="AS1" s="29" t="s">
        <v>760</v>
      </c>
      <c r="AT1" s="29" t="s">
        <v>761</v>
      </c>
    </row>
    <row r="2" spans="1:46" s="76" customFormat="1" x14ac:dyDescent="0.2">
      <c r="A2" s="82" t="s">
        <v>798</v>
      </c>
      <c r="B2" s="82" t="s">
        <v>104</v>
      </c>
      <c r="C2" s="82" t="s">
        <v>797</v>
      </c>
      <c r="D2" s="82" t="s">
        <v>693</v>
      </c>
      <c r="E2" s="82" t="s">
        <v>767</v>
      </c>
      <c r="F2" s="82">
        <v>2005</v>
      </c>
      <c r="G2" s="82">
        <v>175</v>
      </c>
      <c r="H2" s="82">
        <v>4</v>
      </c>
      <c r="I2" s="82">
        <v>19</v>
      </c>
      <c r="J2" s="82">
        <v>28</v>
      </c>
      <c r="K2" s="82">
        <v>49</v>
      </c>
      <c r="L2" s="82">
        <v>49</v>
      </c>
      <c r="M2" s="76">
        <v>57</v>
      </c>
      <c r="N2" s="82">
        <v>59</v>
      </c>
      <c r="O2" s="82">
        <v>87</v>
      </c>
      <c r="P2" s="82">
        <v>88</v>
      </c>
      <c r="Q2" s="82">
        <v>93</v>
      </c>
      <c r="R2" s="83">
        <v>19.934999999999999</v>
      </c>
      <c r="S2" s="83">
        <v>3.9630596770489874</v>
      </c>
      <c r="T2" s="72">
        <v>672.1475169281415</v>
      </c>
      <c r="U2" s="72">
        <v>796.66938474813833</v>
      </c>
      <c r="V2" s="72">
        <v>259.57928914103371</v>
      </c>
      <c r="W2" s="83">
        <v>0.3258306279270311</v>
      </c>
      <c r="X2" s="82">
        <v>138.45000000000005</v>
      </c>
      <c r="Y2" s="82">
        <v>41.800000000000004</v>
      </c>
      <c r="Z2" s="82">
        <v>0</v>
      </c>
      <c r="AA2" s="82">
        <v>0</v>
      </c>
      <c r="AB2" s="82">
        <v>10.525786848840667</v>
      </c>
      <c r="AC2" s="82">
        <v>4.4586471409362956E-2</v>
      </c>
      <c r="AD2" s="82">
        <v>31.794432947953982</v>
      </c>
      <c r="AE2" s="82">
        <v>130.84047322754216</v>
      </c>
      <c r="AF2" s="82">
        <v>0</v>
      </c>
      <c r="AG2" s="82">
        <v>162.63490617549616</v>
      </c>
      <c r="AH2" s="83">
        <v>0.19549573791180999</v>
      </c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</row>
    <row r="3" spans="1:46" s="76" customFormat="1" x14ac:dyDescent="0.2">
      <c r="A3" s="82" t="s">
        <v>798</v>
      </c>
      <c r="B3" s="82" t="s">
        <v>104</v>
      </c>
      <c r="C3" s="82" t="s">
        <v>797</v>
      </c>
      <c r="D3" s="82" t="s">
        <v>693</v>
      </c>
      <c r="E3" s="82" t="s">
        <v>767</v>
      </c>
      <c r="F3" s="82">
        <v>2006</v>
      </c>
      <c r="G3" s="82">
        <v>175</v>
      </c>
      <c r="H3" s="82">
        <v>3</v>
      </c>
      <c r="I3" s="82">
        <v>19</v>
      </c>
      <c r="J3" s="82">
        <v>27</v>
      </c>
      <c r="K3" s="82">
        <v>49</v>
      </c>
      <c r="L3" s="82">
        <v>49</v>
      </c>
      <c r="M3" s="76">
        <v>56</v>
      </c>
      <c r="N3" s="82">
        <v>59</v>
      </c>
      <c r="O3" s="82">
        <v>81</v>
      </c>
      <c r="P3" s="82">
        <v>83</v>
      </c>
      <c r="Q3" s="82">
        <v>89</v>
      </c>
      <c r="R3" s="83">
        <v>20.035999999999998</v>
      </c>
      <c r="S3" s="83">
        <v>4.509443287158831</v>
      </c>
      <c r="T3" s="72">
        <v>655.97624030010218</v>
      </c>
      <c r="U3" s="72">
        <v>689.63305474722131</v>
      </c>
      <c r="V3" s="72">
        <v>163.83509719653583</v>
      </c>
      <c r="W3" s="83">
        <v>0.23756850645870364</v>
      </c>
      <c r="X3" s="82">
        <v>138.45000000000005</v>
      </c>
      <c r="Y3" s="82">
        <v>17.799999999999997</v>
      </c>
      <c r="Z3" s="82">
        <v>0</v>
      </c>
      <c r="AA3" s="82">
        <v>0</v>
      </c>
      <c r="AB3" s="82">
        <v>1.8364325654069837</v>
      </c>
      <c r="AC3" s="82">
        <v>0</v>
      </c>
      <c r="AD3" s="82">
        <v>28.397102026169748</v>
      </c>
      <c r="AE3" s="82">
        <v>118.97657031860163</v>
      </c>
      <c r="AF3" s="82">
        <v>0</v>
      </c>
      <c r="AG3" s="82">
        <v>147.37367234477136</v>
      </c>
      <c r="AH3" s="83">
        <v>0.19268774162632737</v>
      </c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</row>
    <row r="4" spans="1:46" s="76" customFormat="1" x14ac:dyDescent="0.2">
      <c r="A4" s="82" t="s">
        <v>798</v>
      </c>
      <c r="B4" s="82" t="s">
        <v>104</v>
      </c>
      <c r="C4" s="82" t="s">
        <v>797</v>
      </c>
      <c r="D4" s="82" t="s">
        <v>693</v>
      </c>
      <c r="E4" s="82" t="s">
        <v>767</v>
      </c>
      <c r="F4" s="82">
        <v>2007</v>
      </c>
      <c r="G4" s="82">
        <v>175</v>
      </c>
      <c r="H4" s="82">
        <v>3</v>
      </c>
      <c r="I4" s="82">
        <v>20</v>
      </c>
      <c r="J4" s="82">
        <v>29</v>
      </c>
      <c r="K4" s="82">
        <v>51</v>
      </c>
      <c r="L4" s="82">
        <v>51</v>
      </c>
      <c r="M4" s="76">
        <v>58</v>
      </c>
      <c r="N4" s="82">
        <v>61</v>
      </c>
      <c r="O4" s="82">
        <v>84</v>
      </c>
      <c r="P4" s="82">
        <v>85</v>
      </c>
      <c r="Q4" s="82">
        <v>91</v>
      </c>
      <c r="R4" s="83">
        <v>20.288</v>
      </c>
      <c r="S4" s="83">
        <v>3.4084486471917392</v>
      </c>
      <c r="T4" s="72">
        <v>553.56984515563033</v>
      </c>
      <c r="U4" s="72">
        <v>634.61666119689096</v>
      </c>
      <c r="V4" s="72">
        <v>174.47104926021868</v>
      </c>
      <c r="W4" s="83">
        <v>0.27492352025856048</v>
      </c>
      <c r="X4" s="82">
        <v>138.45000000000005</v>
      </c>
      <c r="Y4" s="82">
        <v>31.7</v>
      </c>
      <c r="Z4" s="82">
        <v>0</v>
      </c>
      <c r="AA4" s="82">
        <v>0</v>
      </c>
      <c r="AB4" s="82">
        <v>6.6262246677398338</v>
      </c>
      <c r="AC4" s="82">
        <v>0.10814820994209867</v>
      </c>
      <c r="AD4" s="82">
        <v>32.851444602954849</v>
      </c>
      <c r="AE4" s="82">
        <v>122.15836952129048</v>
      </c>
      <c r="AF4" s="82">
        <v>0</v>
      </c>
      <c r="AG4" s="82">
        <v>155.00981412424534</v>
      </c>
      <c r="AH4" s="83">
        <v>0.21193137137310319</v>
      </c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</row>
    <row r="5" spans="1:46" s="76" customFormat="1" x14ac:dyDescent="0.2">
      <c r="A5" s="82" t="s">
        <v>800</v>
      </c>
      <c r="B5" s="82" t="s">
        <v>104</v>
      </c>
      <c r="C5" s="82" t="s">
        <v>799</v>
      </c>
      <c r="D5" s="82" t="s">
        <v>693</v>
      </c>
      <c r="E5" s="82" t="s">
        <v>767</v>
      </c>
      <c r="F5" s="82">
        <v>2005</v>
      </c>
      <c r="G5" s="82">
        <v>175</v>
      </c>
      <c r="H5" s="82">
        <v>4</v>
      </c>
      <c r="I5" s="82">
        <v>19</v>
      </c>
      <c r="J5" s="82">
        <v>28</v>
      </c>
      <c r="K5" s="82">
        <v>49</v>
      </c>
      <c r="L5" s="82">
        <v>49</v>
      </c>
      <c r="M5" s="76">
        <v>57</v>
      </c>
      <c r="N5" s="82">
        <v>59</v>
      </c>
      <c r="O5" s="82">
        <v>89</v>
      </c>
      <c r="P5" s="82">
        <v>90</v>
      </c>
      <c r="Q5" s="82">
        <v>95</v>
      </c>
      <c r="R5" s="83">
        <v>19.934999999999999</v>
      </c>
      <c r="S5" s="83">
        <v>6.4215263509417539</v>
      </c>
      <c r="T5" s="72">
        <v>1018.2093680019779</v>
      </c>
      <c r="U5" s="72">
        <v>1742.7099431833267</v>
      </c>
      <c r="V5" s="72">
        <v>846.7033292311296</v>
      </c>
      <c r="W5" s="83">
        <v>0.48585441753201458</v>
      </c>
      <c r="X5" s="82">
        <v>138.45000000000005</v>
      </c>
      <c r="Y5" s="82">
        <v>41.900000000000006</v>
      </c>
      <c r="Z5" s="82">
        <v>412.9539411294204</v>
      </c>
      <c r="AA5" s="82">
        <v>5</v>
      </c>
      <c r="AB5" s="82">
        <v>128.84313896989511</v>
      </c>
      <c r="AC5" s="82">
        <v>0</v>
      </c>
      <c r="AD5" s="82">
        <v>53.594733946269365</v>
      </c>
      <c r="AE5" s="82">
        <v>276.23998260568254</v>
      </c>
      <c r="AF5" s="82">
        <v>129.72234018629726</v>
      </c>
      <c r="AG5" s="82">
        <v>329.83471655195189</v>
      </c>
      <c r="AH5" s="83">
        <v>0.16248966416162891</v>
      </c>
      <c r="AI5" s="83">
        <v>4.144736003605666</v>
      </c>
      <c r="AJ5" s="83">
        <v>5.2674360519905035</v>
      </c>
      <c r="AK5" s="83">
        <v>9.4121720555961694</v>
      </c>
      <c r="AL5" s="83">
        <v>11.430494944620245</v>
      </c>
      <c r="AM5" s="83">
        <v>20.842667000216416</v>
      </c>
      <c r="AN5" s="83">
        <v>5.6478333333333328</v>
      </c>
      <c r="AO5" s="83">
        <v>19.5</v>
      </c>
      <c r="AP5" s="83">
        <v>10.655787816225079</v>
      </c>
      <c r="AQ5" s="83">
        <v>5.7052718799957702</v>
      </c>
      <c r="AR5" s="83">
        <v>1.8729999999999998</v>
      </c>
      <c r="AS5" s="83">
        <v>0.96671942834132207</v>
      </c>
      <c r="AT5" s="83">
        <v>6.4212825450894497</v>
      </c>
    </row>
    <row r="6" spans="1:46" s="76" customFormat="1" x14ac:dyDescent="0.2">
      <c r="A6" s="82" t="s">
        <v>800</v>
      </c>
      <c r="B6" s="82" t="s">
        <v>104</v>
      </c>
      <c r="C6" s="82" t="s">
        <v>799</v>
      </c>
      <c r="D6" s="82" t="s">
        <v>693</v>
      </c>
      <c r="E6" s="82" t="s">
        <v>767</v>
      </c>
      <c r="F6" s="82">
        <v>2006</v>
      </c>
      <c r="G6" s="82">
        <v>175</v>
      </c>
      <c r="H6" s="82">
        <v>3</v>
      </c>
      <c r="I6" s="82">
        <v>19</v>
      </c>
      <c r="J6" s="82">
        <v>27</v>
      </c>
      <c r="K6" s="82">
        <v>49</v>
      </c>
      <c r="L6" s="82">
        <v>49</v>
      </c>
      <c r="M6" s="76">
        <v>56</v>
      </c>
      <c r="N6" s="82">
        <v>59</v>
      </c>
      <c r="O6" s="82">
        <v>84</v>
      </c>
      <c r="P6" s="82">
        <v>86</v>
      </c>
      <c r="Q6" s="82">
        <v>93</v>
      </c>
      <c r="R6" s="83">
        <v>20.035999999999998</v>
      </c>
      <c r="S6" s="83">
        <v>6.457830816371021</v>
      </c>
      <c r="T6" s="72">
        <v>951.54737013216402</v>
      </c>
      <c r="U6" s="72">
        <v>1812.0251729401</v>
      </c>
      <c r="V6" s="72">
        <v>838.06164248479627</v>
      </c>
      <c r="W6" s="83">
        <v>0.46249999744760723</v>
      </c>
      <c r="X6" s="82">
        <v>138.45000000000005</v>
      </c>
      <c r="Y6" s="82">
        <v>17.799999999999997</v>
      </c>
      <c r="Z6" s="82">
        <v>346.687400032379</v>
      </c>
      <c r="AA6" s="82">
        <v>6</v>
      </c>
      <c r="AB6" s="82">
        <v>102.00296921851374</v>
      </c>
      <c r="AC6" s="82">
        <v>0</v>
      </c>
      <c r="AD6" s="82">
        <v>50.344272914464419</v>
      </c>
      <c r="AE6" s="82">
        <v>345.954778542344</v>
      </c>
      <c r="AF6" s="82">
        <v>0</v>
      </c>
      <c r="AG6" s="82">
        <v>396.2990514568084</v>
      </c>
      <c r="AH6" s="83">
        <v>0.12703606394977879</v>
      </c>
      <c r="AI6" s="83">
        <v>4.1867515279274672</v>
      </c>
      <c r="AJ6" s="83">
        <v>5.5356013211262267</v>
      </c>
      <c r="AK6" s="83">
        <v>9.7223528490536939</v>
      </c>
      <c r="AL6" s="83">
        <v>11.31383217354475</v>
      </c>
      <c r="AM6" s="83">
        <v>21.036185022598449</v>
      </c>
      <c r="AN6" s="83">
        <v>5.6478333333333328</v>
      </c>
      <c r="AO6" s="83">
        <v>19.5</v>
      </c>
      <c r="AP6" s="83">
        <v>14.646761590437491</v>
      </c>
      <c r="AQ6" s="83">
        <v>8.8229014990184638</v>
      </c>
      <c r="AR6" s="83">
        <v>1.8729999999999998</v>
      </c>
      <c r="AS6" s="83">
        <v>0</v>
      </c>
      <c r="AT6" s="83">
        <v>8.067818460766242</v>
      </c>
    </row>
    <row r="7" spans="1:46" s="76" customFormat="1" x14ac:dyDescent="0.2">
      <c r="A7" s="82" t="s">
        <v>800</v>
      </c>
      <c r="B7" s="82" t="s">
        <v>104</v>
      </c>
      <c r="C7" s="82" t="s">
        <v>799</v>
      </c>
      <c r="D7" s="82" t="s">
        <v>693</v>
      </c>
      <c r="E7" s="82" t="s">
        <v>767</v>
      </c>
      <c r="F7" s="82">
        <v>2007</v>
      </c>
      <c r="G7" s="82">
        <v>175</v>
      </c>
      <c r="H7" s="82">
        <v>3</v>
      </c>
      <c r="I7" s="82">
        <v>20</v>
      </c>
      <c r="J7" s="82">
        <v>29</v>
      </c>
      <c r="K7" s="82">
        <v>51</v>
      </c>
      <c r="L7" s="82">
        <v>51</v>
      </c>
      <c r="M7" s="82">
        <v>58</v>
      </c>
      <c r="N7" s="82">
        <v>61</v>
      </c>
      <c r="O7" s="82">
        <v>86</v>
      </c>
      <c r="P7" s="82">
        <v>88</v>
      </c>
      <c r="Q7" s="82">
        <v>94</v>
      </c>
      <c r="R7" s="83">
        <v>20.288</v>
      </c>
      <c r="S7" s="83">
        <v>6.6246391048161701</v>
      </c>
      <c r="T7" s="72">
        <v>1027.5071997275465</v>
      </c>
      <c r="U7" s="72">
        <v>1863.2239824141725</v>
      </c>
      <c r="V7" s="72">
        <v>861.74109186655471</v>
      </c>
      <c r="W7" s="83">
        <v>0.4624999975177434</v>
      </c>
      <c r="X7" s="82">
        <v>138.45000000000005</v>
      </c>
      <c r="Y7" s="82">
        <v>31.7</v>
      </c>
      <c r="Z7" s="82">
        <v>407.8183458927333</v>
      </c>
      <c r="AA7" s="82">
        <v>7</v>
      </c>
      <c r="AB7" s="82">
        <v>151.39446754720149</v>
      </c>
      <c r="AC7" s="82">
        <v>0</v>
      </c>
      <c r="AD7" s="82">
        <v>52.644672795740043</v>
      </c>
      <c r="AE7" s="82">
        <v>368.16446007537451</v>
      </c>
      <c r="AF7" s="82">
        <v>0</v>
      </c>
      <c r="AG7" s="82">
        <v>420.80913287111457</v>
      </c>
      <c r="AH7" s="83">
        <v>0.12510344341986898</v>
      </c>
      <c r="AI7" s="83">
        <v>3.706035877220768</v>
      </c>
      <c r="AJ7" s="83">
        <v>4.6398442874482102</v>
      </c>
      <c r="AK7" s="83">
        <v>8.3458801646689782</v>
      </c>
      <c r="AL7" s="83">
        <v>11.633504740198488</v>
      </c>
      <c r="AM7" s="83">
        <v>19.979384904867462</v>
      </c>
      <c r="AN7" s="83">
        <v>5.6478333333333328</v>
      </c>
      <c r="AO7" s="83">
        <v>19.5</v>
      </c>
      <c r="AP7" s="83">
        <v>13.901951239383418</v>
      </c>
      <c r="AQ7" s="83">
        <v>8.8130048131366117</v>
      </c>
      <c r="AR7" s="83">
        <v>1.8729999999999998</v>
      </c>
      <c r="AS7" s="83">
        <v>0</v>
      </c>
      <c r="AT7" s="83">
        <v>8.3897049984241931</v>
      </c>
    </row>
    <row r="8" spans="1:46" s="76" customFormat="1" x14ac:dyDescent="0.2">
      <c r="A8" s="82" t="s">
        <v>802</v>
      </c>
      <c r="B8" s="82" t="s">
        <v>776</v>
      </c>
      <c r="C8" s="82" t="s">
        <v>801</v>
      </c>
      <c r="D8" s="82" t="s">
        <v>693</v>
      </c>
      <c r="E8" s="82" t="s">
        <v>767</v>
      </c>
      <c r="F8" s="82">
        <v>1992</v>
      </c>
      <c r="G8" s="82">
        <v>130</v>
      </c>
      <c r="H8" s="82">
        <v>6</v>
      </c>
      <c r="I8" s="82">
        <v>28</v>
      </c>
      <c r="J8" s="82">
        <v>38</v>
      </c>
      <c r="K8" s="82">
        <v>61</v>
      </c>
      <c r="L8" s="82">
        <v>61</v>
      </c>
      <c r="M8" s="82">
        <v>68</v>
      </c>
      <c r="N8" s="82">
        <v>70</v>
      </c>
      <c r="O8" s="82">
        <v>95</v>
      </c>
      <c r="P8" s="82">
        <v>97</v>
      </c>
      <c r="Q8" s="82">
        <v>103</v>
      </c>
      <c r="R8" s="83">
        <v>19.931000000000001</v>
      </c>
      <c r="S8" s="83">
        <v>8.3733780069579247</v>
      </c>
      <c r="T8" s="72">
        <v>1397.7471986694204</v>
      </c>
      <c r="U8" s="72">
        <v>2472.0431539569954</v>
      </c>
      <c r="V8" s="72">
        <v>1143.3199587051106</v>
      </c>
      <c r="W8" s="83">
        <v>0.46249999812907805</v>
      </c>
      <c r="X8" s="82">
        <v>138.45000000000005</v>
      </c>
      <c r="Y8" s="82">
        <v>14</v>
      </c>
      <c r="Z8" s="82">
        <v>763.02242326770954</v>
      </c>
      <c r="AA8" s="82">
        <v>13</v>
      </c>
      <c r="AB8" s="82">
        <v>145.85659952928961</v>
      </c>
      <c r="AC8" s="82">
        <v>0</v>
      </c>
      <c r="AD8" s="82">
        <v>79.120336787085932</v>
      </c>
      <c r="AE8" s="82">
        <v>679.37414326474334</v>
      </c>
      <c r="AF8" s="82">
        <v>0</v>
      </c>
      <c r="AG8" s="82">
        <v>758.49448005182921</v>
      </c>
      <c r="AH8" s="83">
        <v>0.10431234217888584</v>
      </c>
      <c r="AI8" s="83">
        <v>3.1531092158924645</v>
      </c>
      <c r="AJ8" s="83">
        <v>3.7134512432593585</v>
      </c>
      <c r="AK8" s="83">
        <v>6.866560459151823</v>
      </c>
      <c r="AL8" s="83">
        <v>15.434819442518993</v>
      </c>
      <c r="AM8" s="83">
        <v>22.301379901670817</v>
      </c>
      <c r="AN8" s="83">
        <v>5.6478333333333328</v>
      </c>
      <c r="AO8" s="83">
        <v>19.5</v>
      </c>
      <c r="AP8" s="83">
        <v>10.759700126693069</v>
      </c>
      <c r="AQ8" s="83">
        <v>4.6058440012466688</v>
      </c>
      <c r="AR8" s="83">
        <v>1.8729999999999998</v>
      </c>
      <c r="AS8" s="83">
        <v>0</v>
      </c>
      <c r="AT8" s="83">
        <v>7.1326381862305182</v>
      </c>
    </row>
    <row r="9" spans="1:46" s="76" customFormat="1" x14ac:dyDescent="0.2">
      <c r="A9" s="82" t="s">
        <v>802</v>
      </c>
      <c r="B9" s="82" t="s">
        <v>776</v>
      </c>
      <c r="C9" s="82" t="s">
        <v>801</v>
      </c>
      <c r="D9" s="82" t="s">
        <v>693</v>
      </c>
      <c r="E9" s="82" t="s">
        <v>767</v>
      </c>
      <c r="F9" s="82">
        <v>1993</v>
      </c>
      <c r="G9" s="82">
        <v>130</v>
      </c>
      <c r="H9" s="82">
        <v>5</v>
      </c>
      <c r="I9" s="82">
        <v>26</v>
      </c>
      <c r="J9" s="82">
        <v>34</v>
      </c>
      <c r="K9" s="82">
        <v>58</v>
      </c>
      <c r="L9" s="82">
        <v>58</v>
      </c>
      <c r="M9" s="82">
        <v>65</v>
      </c>
      <c r="N9" s="82">
        <v>67</v>
      </c>
      <c r="O9" s="82">
        <v>94</v>
      </c>
      <c r="P9" s="82">
        <v>95</v>
      </c>
      <c r="Q9" s="82">
        <v>100</v>
      </c>
      <c r="R9" s="83">
        <v>19.914999999999996</v>
      </c>
      <c r="S9" s="83">
        <v>8.4144927249047115</v>
      </c>
      <c r="T9" s="72">
        <v>1463.0107410938836</v>
      </c>
      <c r="U9" s="72">
        <v>2516.9720092208449</v>
      </c>
      <c r="V9" s="72">
        <v>1233.5894443131422</v>
      </c>
      <c r="W9" s="83">
        <v>0.49010852520125059</v>
      </c>
      <c r="X9" s="82">
        <v>138.45000000000005</v>
      </c>
      <c r="Y9" s="82">
        <v>3.3</v>
      </c>
      <c r="Z9" s="82">
        <v>709.16018637380159</v>
      </c>
      <c r="AA9" s="82">
        <v>12</v>
      </c>
      <c r="AB9" s="82">
        <v>120.8256010050912</v>
      </c>
      <c r="AC9" s="82">
        <v>0</v>
      </c>
      <c r="AD9" s="82">
        <v>69.894640977589773</v>
      </c>
      <c r="AE9" s="82">
        <v>648.78432201217981</v>
      </c>
      <c r="AF9" s="82">
        <v>0</v>
      </c>
      <c r="AG9" s="82">
        <v>718.67896298976962</v>
      </c>
      <c r="AH9" s="83">
        <v>9.7254328572911691E-2</v>
      </c>
      <c r="AI9" s="83">
        <v>2.7730370556273707</v>
      </c>
      <c r="AJ9" s="83">
        <v>3.0897936843940843</v>
      </c>
      <c r="AK9" s="83">
        <v>5.8628307400214545</v>
      </c>
      <c r="AL9" s="83">
        <v>16.653457498227411</v>
      </c>
      <c r="AM9" s="83">
        <v>22.51628823824888</v>
      </c>
      <c r="AN9" s="83">
        <v>5.6478333333333328</v>
      </c>
      <c r="AO9" s="83">
        <v>19.5</v>
      </c>
      <c r="AP9" s="83">
        <v>10.596789710023458</v>
      </c>
      <c r="AQ9" s="83">
        <v>4.902314770858208</v>
      </c>
      <c r="AR9" s="83">
        <v>1.8729999999999998</v>
      </c>
      <c r="AS9" s="83">
        <v>0</v>
      </c>
      <c r="AT9" s="83">
        <v>6.4583498421368599</v>
      </c>
    </row>
    <row r="10" spans="1:46" s="76" customFormat="1" x14ac:dyDescent="0.2">
      <c r="A10" s="82" t="s">
        <v>802</v>
      </c>
      <c r="B10" s="82" t="s">
        <v>776</v>
      </c>
      <c r="C10" s="82" t="s">
        <v>801</v>
      </c>
      <c r="D10" s="82" t="s">
        <v>693</v>
      </c>
      <c r="E10" s="82" t="s">
        <v>767</v>
      </c>
      <c r="F10" s="82">
        <v>1994</v>
      </c>
      <c r="G10" s="82">
        <v>130</v>
      </c>
      <c r="H10" s="82">
        <v>3</v>
      </c>
      <c r="I10" s="82">
        <v>25</v>
      </c>
      <c r="J10" s="82">
        <v>34</v>
      </c>
      <c r="K10" s="82">
        <v>59</v>
      </c>
      <c r="L10" s="82">
        <v>59</v>
      </c>
      <c r="M10" s="82">
        <v>66</v>
      </c>
      <c r="N10" s="82">
        <v>68</v>
      </c>
      <c r="O10" s="82">
        <v>93</v>
      </c>
      <c r="P10" s="82">
        <v>94</v>
      </c>
      <c r="Q10" s="82">
        <v>98</v>
      </c>
      <c r="R10" s="83">
        <v>20.259000000000004</v>
      </c>
      <c r="S10" s="83">
        <v>8.799966753722396</v>
      </c>
      <c r="T10" s="72">
        <v>1622.1367515914442</v>
      </c>
      <c r="U10" s="72">
        <v>2505.8906100380818</v>
      </c>
      <c r="V10" s="72">
        <v>1066.2564545712037</v>
      </c>
      <c r="W10" s="83">
        <v>0.4254999983020008</v>
      </c>
      <c r="X10" s="82">
        <v>138.45000000000005</v>
      </c>
      <c r="Y10" s="82">
        <v>9.4</v>
      </c>
      <c r="Z10" s="82">
        <v>853.84774159700135</v>
      </c>
      <c r="AA10" s="82">
        <v>15</v>
      </c>
      <c r="AB10" s="82">
        <v>145.9281591476132</v>
      </c>
      <c r="AC10" s="82">
        <v>0</v>
      </c>
      <c r="AD10" s="82">
        <v>84.155783426360443</v>
      </c>
      <c r="AE10" s="82">
        <v>758.96224412195295</v>
      </c>
      <c r="AF10" s="82">
        <v>0</v>
      </c>
      <c r="AG10" s="82">
        <v>843.11802754831342</v>
      </c>
      <c r="AH10" s="83">
        <v>9.9814948415853394E-2</v>
      </c>
      <c r="AI10" s="83">
        <v>2.6916922249595139</v>
      </c>
      <c r="AJ10" s="83">
        <v>3.43986902676179</v>
      </c>
      <c r="AK10" s="83">
        <v>6.1315612517213038</v>
      </c>
      <c r="AL10" s="83">
        <v>14.394462136711249</v>
      </c>
      <c r="AM10" s="83">
        <v>20.526023388432556</v>
      </c>
      <c r="AN10" s="83">
        <v>5.6478333333333328</v>
      </c>
      <c r="AO10" s="83">
        <v>19.5</v>
      </c>
      <c r="AP10" s="83">
        <v>10.132646780539483</v>
      </c>
      <c r="AQ10" s="83">
        <v>5.4798295060758235</v>
      </c>
      <c r="AR10" s="83">
        <v>1.8729999999999998</v>
      </c>
      <c r="AS10" s="83">
        <v>0</v>
      </c>
      <c r="AT10" s="83">
        <v>7.4069577648231437</v>
      </c>
    </row>
    <row r="11" spans="1:46" s="76" customFormat="1" x14ac:dyDescent="0.2">
      <c r="A11" s="82" t="s">
        <v>786</v>
      </c>
      <c r="B11" s="82" t="s">
        <v>783</v>
      </c>
      <c r="C11" s="82" t="s">
        <v>784</v>
      </c>
      <c r="D11" s="82" t="s">
        <v>693</v>
      </c>
      <c r="E11" s="82" t="s">
        <v>767</v>
      </c>
      <c r="F11" s="82">
        <v>1990</v>
      </c>
      <c r="G11" s="82">
        <v>312</v>
      </c>
      <c r="H11" s="82">
        <v>4</v>
      </c>
      <c r="I11" s="82">
        <v>25</v>
      </c>
      <c r="J11" s="82">
        <v>32</v>
      </c>
      <c r="K11" s="82">
        <v>68</v>
      </c>
      <c r="L11" s="82">
        <v>68</v>
      </c>
      <c r="M11" s="82">
        <v>79</v>
      </c>
      <c r="N11" s="82">
        <v>83</v>
      </c>
      <c r="O11" s="82">
        <v>113</v>
      </c>
      <c r="P11" s="82">
        <v>114</v>
      </c>
      <c r="Q11" s="82">
        <v>119</v>
      </c>
      <c r="R11" s="83">
        <v>18.758000000000003</v>
      </c>
      <c r="S11" s="83">
        <v>1.9592070988909562</v>
      </c>
      <c r="T11" s="72">
        <v>534.91119884902469</v>
      </c>
      <c r="U11" s="72">
        <v>678.17288233442855</v>
      </c>
      <c r="V11" s="72">
        <v>210.65758240952823</v>
      </c>
      <c r="W11" s="83">
        <v>0.31062518834156866</v>
      </c>
      <c r="X11" s="82">
        <v>138.45000000000005</v>
      </c>
      <c r="Y11" s="82">
        <v>26.3</v>
      </c>
      <c r="Z11" s="82">
        <v>0</v>
      </c>
      <c r="AA11" s="82">
        <v>0</v>
      </c>
      <c r="AB11" s="82">
        <v>0.77773088163930026</v>
      </c>
      <c r="AC11" s="82">
        <v>0.48280206864007802</v>
      </c>
      <c r="AD11" s="82">
        <v>44.980344723417247</v>
      </c>
      <c r="AE11" s="82">
        <v>121.59353966766253</v>
      </c>
      <c r="AF11" s="82">
        <v>0</v>
      </c>
      <c r="AG11" s="82">
        <v>166.57388439107979</v>
      </c>
      <c r="AH11" s="83">
        <v>0.27003237744933212</v>
      </c>
      <c r="AI11" s="83">
        <v>1.4484435069300599</v>
      </c>
      <c r="AJ11" s="83">
        <v>2.880174572684282</v>
      </c>
      <c r="AK11" s="83">
        <v>4.3286180796143423</v>
      </c>
      <c r="AL11" s="83">
        <v>2.8438773625286311</v>
      </c>
      <c r="AM11" s="83">
        <v>7.1724954421429725</v>
      </c>
      <c r="AN11" s="83">
        <v>5.6478333333333328</v>
      </c>
      <c r="AO11" s="83">
        <v>5.6</v>
      </c>
      <c r="AP11" s="83">
        <v>8.0579588006801881</v>
      </c>
      <c r="AQ11" s="83">
        <v>11.648610342878289</v>
      </c>
      <c r="AR11" s="83">
        <v>0.49</v>
      </c>
      <c r="AS11" s="83">
        <v>0</v>
      </c>
      <c r="AT11" s="83">
        <v>0</v>
      </c>
    </row>
    <row r="12" spans="1:46" s="76" customFormat="1" x14ac:dyDescent="0.2">
      <c r="A12" s="82" t="s">
        <v>786</v>
      </c>
      <c r="B12" s="82" t="s">
        <v>783</v>
      </c>
      <c r="C12" s="82" t="s">
        <v>784</v>
      </c>
      <c r="D12" s="82" t="s">
        <v>693</v>
      </c>
      <c r="E12" s="82" t="s">
        <v>767</v>
      </c>
      <c r="F12" s="82">
        <v>1991</v>
      </c>
      <c r="G12" s="82">
        <v>312</v>
      </c>
      <c r="H12" s="82">
        <v>4</v>
      </c>
      <c r="I12" s="82">
        <v>27</v>
      </c>
      <c r="J12" s="82">
        <v>36</v>
      </c>
      <c r="K12" s="82">
        <v>75</v>
      </c>
      <c r="L12" s="82">
        <v>75</v>
      </c>
      <c r="M12" s="82">
        <v>87</v>
      </c>
      <c r="N12" s="82">
        <v>90</v>
      </c>
      <c r="O12" s="82">
        <v>121</v>
      </c>
      <c r="P12" s="82">
        <v>122</v>
      </c>
      <c r="Q12" s="82">
        <v>127</v>
      </c>
      <c r="R12" s="83">
        <v>18.775999999999996</v>
      </c>
      <c r="S12" s="83">
        <v>1.7599397954106064</v>
      </c>
      <c r="T12" s="72">
        <v>535.79102814077066</v>
      </c>
      <c r="U12" s="72">
        <v>588.26464958422309</v>
      </c>
      <c r="V12" s="72">
        <v>156.86923204890707</v>
      </c>
      <c r="W12" s="83">
        <v>0.26666438225233513</v>
      </c>
      <c r="X12" s="82">
        <v>138.45000000000005</v>
      </c>
      <c r="Y12" s="82">
        <v>2</v>
      </c>
      <c r="Z12" s="82">
        <v>0</v>
      </c>
      <c r="AA12" s="82">
        <v>0</v>
      </c>
      <c r="AB12" s="82">
        <v>0.30922463880582995</v>
      </c>
      <c r="AC12" s="82">
        <v>0</v>
      </c>
      <c r="AD12" s="82">
        <v>31.870529623912653</v>
      </c>
      <c r="AE12" s="82">
        <v>120.7005591647703</v>
      </c>
      <c r="AF12" s="82">
        <v>0</v>
      </c>
      <c r="AG12" s="82">
        <v>152.57108878868294</v>
      </c>
      <c r="AH12" s="83">
        <v>0.20888969062256416</v>
      </c>
      <c r="AI12" s="83">
        <v>1.3208667453718173</v>
      </c>
      <c r="AJ12" s="83">
        <v>2.6955894618520024</v>
      </c>
      <c r="AK12" s="83">
        <v>4.0164562072238201</v>
      </c>
      <c r="AL12" s="83">
        <v>2.1177346326602438</v>
      </c>
      <c r="AM12" s="83">
        <v>6.1341908398840612</v>
      </c>
      <c r="AN12" s="83">
        <v>5.6478333333333328</v>
      </c>
      <c r="AO12" s="83">
        <v>5.6</v>
      </c>
      <c r="AP12" s="83">
        <v>7.5999435474054184</v>
      </c>
      <c r="AQ12" s="83">
        <v>12.228916050557419</v>
      </c>
      <c r="AR12" s="83">
        <v>0.49</v>
      </c>
      <c r="AS12" s="83">
        <v>0</v>
      </c>
      <c r="AT12" s="83">
        <v>0</v>
      </c>
    </row>
    <row r="13" spans="1:46" s="76" customFormat="1" x14ac:dyDescent="0.2">
      <c r="A13" s="82" t="s">
        <v>786</v>
      </c>
      <c r="B13" s="82" t="s">
        <v>783</v>
      </c>
      <c r="C13" s="82" t="s">
        <v>784</v>
      </c>
      <c r="D13" s="82" t="s">
        <v>693</v>
      </c>
      <c r="E13" s="82" t="s">
        <v>767</v>
      </c>
      <c r="F13" s="82">
        <v>1992</v>
      </c>
      <c r="G13" s="82">
        <v>312</v>
      </c>
      <c r="H13" s="82">
        <v>3</v>
      </c>
      <c r="I13" s="82">
        <v>25</v>
      </c>
      <c r="J13" s="82">
        <v>34</v>
      </c>
      <c r="K13" s="82">
        <v>73</v>
      </c>
      <c r="L13" s="82">
        <v>73</v>
      </c>
      <c r="M13" s="82">
        <v>84</v>
      </c>
      <c r="N13" s="82">
        <v>88</v>
      </c>
      <c r="O13" s="82">
        <v>120</v>
      </c>
      <c r="P13" s="82">
        <v>121</v>
      </c>
      <c r="Q13" s="82">
        <v>127</v>
      </c>
      <c r="R13" s="83">
        <v>19.115000000000006</v>
      </c>
      <c r="S13" s="83">
        <v>1.8239901347088505</v>
      </c>
      <c r="T13" s="72">
        <v>538.04730780611817</v>
      </c>
      <c r="U13" s="72">
        <v>590.54484006255666</v>
      </c>
      <c r="V13" s="72">
        <v>154.46906513948269</v>
      </c>
      <c r="W13" s="83">
        <v>0.26157042115111112</v>
      </c>
      <c r="X13" s="82">
        <v>138.45000000000005</v>
      </c>
      <c r="Y13" s="82">
        <v>77</v>
      </c>
      <c r="Z13" s="82">
        <v>0</v>
      </c>
      <c r="AA13" s="82">
        <v>0</v>
      </c>
      <c r="AB13" s="82">
        <v>0.41002995441337475</v>
      </c>
      <c r="AC13" s="82">
        <v>21.65522154328103</v>
      </c>
      <c r="AD13" s="82">
        <v>62.878030492813487</v>
      </c>
      <c r="AE13" s="82">
        <v>127.71699676798264</v>
      </c>
      <c r="AF13" s="82">
        <v>19.846606024018229</v>
      </c>
      <c r="AG13" s="82">
        <v>190.59502726079612</v>
      </c>
      <c r="AH13" s="83">
        <v>0.32990381804525082</v>
      </c>
      <c r="AI13" s="83">
        <v>1.2957844676090333</v>
      </c>
      <c r="AJ13" s="83">
        <v>2.2594086968705378</v>
      </c>
      <c r="AK13" s="83">
        <v>3.5551931644795713</v>
      </c>
      <c r="AL13" s="83">
        <v>2.0853323793830167</v>
      </c>
      <c r="AM13" s="83">
        <v>5.6405255438625881</v>
      </c>
      <c r="AN13" s="83">
        <v>5.6478333333333328</v>
      </c>
      <c r="AO13" s="83">
        <v>5.6</v>
      </c>
      <c r="AP13" s="83">
        <v>5.2395200084142921</v>
      </c>
      <c r="AQ13" s="83">
        <v>9.0738586275087521</v>
      </c>
      <c r="AR13" s="83">
        <v>0.49</v>
      </c>
      <c r="AS13" s="83">
        <v>0.17245709051974104</v>
      </c>
      <c r="AT13" s="83">
        <v>1.1158513930124749</v>
      </c>
    </row>
    <row r="14" spans="1:46" s="76" customFormat="1" x14ac:dyDescent="0.2">
      <c r="A14" s="82" t="s">
        <v>786</v>
      </c>
      <c r="B14" s="82" t="s">
        <v>783</v>
      </c>
      <c r="C14" s="82" t="s">
        <v>784</v>
      </c>
      <c r="D14" s="82" t="s">
        <v>693</v>
      </c>
      <c r="E14" s="82" t="s">
        <v>767</v>
      </c>
      <c r="F14" s="82">
        <v>1993</v>
      </c>
      <c r="G14" s="82">
        <v>312</v>
      </c>
      <c r="H14" s="82">
        <v>4</v>
      </c>
      <c r="I14" s="82">
        <v>28</v>
      </c>
      <c r="J14" s="82">
        <v>37</v>
      </c>
      <c r="K14" s="82">
        <v>76</v>
      </c>
      <c r="L14" s="82">
        <v>76</v>
      </c>
      <c r="M14" s="82">
        <v>87</v>
      </c>
      <c r="N14" s="82">
        <v>90</v>
      </c>
      <c r="O14" s="82">
        <v>119</v>
      </c>
      <c r="P14" s="82">
        <v>120</v>
      </c>
      <c r="Q14" s="82">
        <v>125</v>
      </c>
      <c r="R14" s="83">
        <v>18.836000000000006</v>
      </c>
      <c r="S14" s="83">
        <v>1.9596695124282475</v>
      </c>
      <c r="T14" s="72">
        <v>549.07426937999458</v>
      </c>
      <c r="U14" s="72">
        <v>635.73352407607194</v>
      </c>
      <c r="V14" s="72">
        <v>187.17298101767759</v>
      </c>
      <c r="W14" s="83">
        <v>0.29442049378392621</v>
      </c>
      <c r="X14" s="82">
        <v>138.45000000000005</v>
      </c>
      <c r="Y14" s="82">
        <v>36.4</v>
      </c>
      <c r="Z14" s="82">
        <v>0</v>
      </c>
      <c r="AA14" s="82">
        <v>0</v>
      </c>
      <c r="AB14" s="82">
        <v>0.70481563908634115</v>
      </c>
      <c r="AC14" s="82">
        <v>1.0915576188959186</v>
      </c>
      <c r="AD14" s="82">
        <v>62.51185445777616</v>
      </c>
      <c r="AE14" s="82">
        <v>120.29643156037874</v>
      </c>
      <c r="AF14" s="82">
        <v>0</v>
      </c>
      <c r="AG14" s="82">
        <v>182.80828601815489</v>
      </c>
      <c r="AH14" s="83">
        <v>0.34195305037780144</v>
      </c>
      <c r="AI14" s="83">
        <v>1.4314320501088429</v>
      </c>
      <c r="AJ14" s="83">
        <v>2.7800821356832275</v>
      </c>
      <c r="AK14" s="83">
        <v>4.2115141857920708</v>
      </c>
      <c r="AL14" s="83">
        <v>2.5268352437386463</v>
      </c>
      <c r="AM14" s="83">
        <v>6.7383494295307145</v>
      </c>
      <c r="AN14" s="83">
        <v>5.6478333333333328</v>
      </c>
      <c r="AO14" s="83">
        <v>5.6</v>
      </c>
      <c r="AP14" s="83">
        <v>7.9386451526200599</v>
      </c>
      <c r="AQ14" s="83">
        <v>11.750626225226812</v>
      </c>
      <c r="AR14" s="83">
        <v>0.49</v>
      </c>
      <c r="AS14" s="83">
        <v>0</v>
      </c>
      <c r="AT14" s="83">
        <v>0.21282557267667448</v>
      </c>
    </row>
    <row r="15" spans="1:46" s="76" customFormat="1" x14ac:dyDescent="0.2">
      <c r="A15" s="82" t="s">
        <v>786</v>
      </c>
      <c r="B15" s="82" t="s">
        <v>783</v>
      </c>
      <c r="C15" s="82" t="s">
        <v>784</v>
      </c>
      <c r="D15" s="82" t="s">
        <v>693</v>
      </c>
      <c r="E15" s="82" t="s">
        <v>767</v>
      </c>
      <c r="F15" s="82">
        <v>1994</v>
      </c>
      <c r="G15" s="82">
        <v>312</v>
      </c>
      <c r="H15" s="82">
        <v>4</v>
      </c>
      <c r="I15" s="82">
        <v>30</v>
      </c>
      <c r="J15" s="82">
        <v>39</v>
      </c>
      <c r="K15" s="82">
        <v>81</v>
      </c>
      <c r="L15" s="82">
        <v>81</v>
      </c>
      <c r="M15" s="82">
        <v>93</v>
      </c>
      <c r="N15" s="82">
        <v>96</v>
      </c>
      <c r="O15" s="82">
        <v>124</v>
      </c>
      <c r="P15" s="82">
        <v>126</v>
      </c>
      <c r="Q15" s="82">
        <v>131</v>
      </c>
      <c r="R15" s="83">
        <v>18.904000000000007</v>
      </c>
      <c r="S15" s="83">
        <v>2.0463512750251605</v>
      </c>
      <c r="T15" s="72">
        <v>637.39330551831961</v>
      </c>
      <c r="U15" s="72">
        <v>757.46619091408263</v>
      </c>
      <c r="V15" s="72">
        <v>224.37174588456745</v>
      </c>
      <c r="W15" s="83">
        <v>0.29621354142772816</v>
      </c>
      <c r="X15" s="82">
        <v>138.45000000000005</v>
      </c>
      <c r="Y15" s="82">
        <v>47.8</v>
      </c>
      <c r="Z15" s="82">
        <v>0</v>
      </c>
      <c r="AA15" s="82">
        <v>0</v>
      </c>
      <c r="AB15" s="82">
        <v>4.7009553495291421</v>
      </c>
      <c r="AC15" s="82">
        <v>2.056367320524767</v>
      </c>
      <c r="AD15" s="82">
        <v>38.885937293646336</v>
      </c>
      <c r="AE15" s="82">
        <v>138.68348795854681</v>
      </c>
      <c r="AF15" s="82">
        <v>0</v>
      </c>
      <c r="AG15" s="82">
        <v>177.56942525219313</v>
      </c>
      <c r="AH15" s="83">
        <v>0.21899003755020424</v>
      </c>
      <c r="AI15" s="83">
        <v>1.4943517279115612</v>
      </c>
      <c r="AJ15" s="83">
        <v>3.3684379454151667</v>
      </c>
      <c r="AK15" s="83">
        <v>4.862789673326728</v>
      </c>
      <c r="AL15" s="83">
        <v>3.0290185694416594</v>
      </c>
      <c r="AM15" s="83">
        <v>7.8918082427683904</v>
      </c>
      <c r="AN15" s="83">
        <v>5.6478333333333328</v>
      </c>
      <c r="AO15" s="83">
        <v>5.6</v>
      </c>
      <c r="AP15" s="83">
        <v>8.1105165201743397</v>
      </c>
      <c r="AQ15" s="83">
        <v>9.9843195710793395</v>
      </c>
      <c r="AR15" s="83">
        <v>0.49</v>
      </c>
      <c r="AS15" s="83">
        <v>0</v>
      </c>
      <c r="AT15" s="83">
        <v>0.99753005779882031</v>
      </c>
    </row>
    <row r="16" spans="1:46" s="76" customFormat="1" x14ac:dyDescent="0.2">
      <c r="A16" s="82" t="s">
        <v>786</v>
      </c>
      <c r="B16" s="82" t="s">
        <v>783</v>
      </c>
      <c r="C16" s="82" t="s">
        <v>784</v>
      </c>
      <c r="D16" s="82" t="s">
        <v>693</v>
      </c>
      <c r="E16" s="82" t="s">
        <v>767</v>
      </c>
      <c r="F16" s="82">
        <v>1995</v>
      </c>
      <c r="G16" s="82">
        <v>312</v>
      </c>
      <c r="H16" s="82">
        <v>4</v>
      </c>
      <c r="I16" s="82">
        <v>25</v>
      </c>
      <c r="J16" s="82">
        <v>33</v>
      </c>
      <c r="K16" s="82">
        <v>68</v>
      </c>
      <c r="L16" s="82">
        <v>68</v>
      </c>
      <c r="M16" s="76">
        <v>79</v>
      </c>
      <c r="N16" s="82">
        <v>82</v>
      </c>
      <c r="O16" s="82">
        <v>113</v>
      </c>
      <c r="P16" s="82">
        <v>114</v>
      </c>
      <c r="Q16" s="82">
        <v>120</v>
      </c>
      <c r="R16" s="83">
        <v>18.704999999999998</v>
      </c>
      <c r="S16" s="83">
        <v>1.7518409236329771</v>
      </c>
      <c r="T16" s="72">
        <v>504.98811290288216</v>
      </c>
      <c r="U16" s="72">
        <v>583.46011132998899</v>
      </c>
      <c r="V16" s="72">
        <v>170.22380847300175</v>
      </c>
      <c r="W16" s="83">
        <v>0.29174883123970669</v>
      </c>
      <c r="X16" s="82">
        <v>138.45000000000005</v>
      </c>
      <c r="Y16" s="82">
        <v>13</v>
      </c>
      <c r="Z16" s="82">
        <v>0</v>
      </c>
      <c r="AA16" s="82">
        <v>0</v>
      </c>
      <c r="AB16" s="82">
        <v>1.0311138900644181</v>
      </c>
      <c r="AC16" s="82">
        <v>0.31454584143302</v>
      </c>
      <c r="AD16" s="82">
        <v>55.103932859048363</v>
      </c>
      <c r="AE16" s="82">
        <v>112.84884202814482</v>
      </c>
      <c r="AF16" s="82">
        <v>0</v>
      </c>
      <c r="AG16" s="82">
        <v>167.95277488719319</v>
      </c>
      <c r="AH16" s="83">
        <v>0.32809180804033322</v>
      </c>
      <c r="AI16" s="83">
        <v>1.2568228401922514</v>
      </c>
      <c r="AJ16" s="83">
        <v>2.3608166002722215</v>
      </c>
      <c r="AK16" s="83">
        <v>3.6176394404644729</v>
      </c>
      <c r="AL16" s="83">
        <v>2.2980214143855235</v>
      </c>
      <c r="AM16" s="83">
        <v>5.9156608548499952</v>
      </c>
      <c r="AN16" s="83">
        <v>5.6478333333333328</v>
      </c>
      <c r="AO16" s="83">
        <v>5.6</v>
      </c>
      <c r="AP16" s="83">
        <v>7.3436644475055646</v>
      </c>
      <c r="AQ16" s="83">
        <v>12.191165395306477</v>
      </c>
      <c r="AR16" s="83">
        <v>0.49</v>
      </c>
      <c r="AS16" s="83">
        <v>0</v>
      </c>
      <c r="AT16" s="83">
        <v>0</v>
      </c>
    </row>
    <row r="17" spans="1:46" s="76" customFormat="1" x14ac:dyDescent="0.2">
      <c r="A17" s="82" t="s">
        <v>786</v>
      </c>
      <c r="B17" s="82" t="s">
        <v>783</v>
      </c>
      <c r="C17" s="82" t="s">
        <v>784</v>
      </c>
      <c r="D17" s="82" t="s">
        <v>693</v>
      </c>
      <c r="E17" s="82" t="s">
        <v>767</v>
      </c>
      <c r="F17" s="82">
        <v>1996</v>
      </c>
      <c r="G17" s="82">
        <v>312</v>
      </c>
      <c r="H17" s="82">
        <v>4</v>
      </c>
      <c r="I17" s="82">
        <v>27</v>
      </c>
      <c r="J17" s="82">
        <v>36</v>
      </c>
      <c r="K17" s="82">
        <v>73</v>
      </c>
      <c r="L17" s="82">
        <v>73</v>
      </c>
      <c r="M17" s="76">
        <v>85</v>
      </c>
      <c r="N17" s="82">
        <v>89</v>
      </c>
      <c r="O17" s="82">
        <v>121</v>
      </c>
      <c r="P17" s="82">
        <v>122</v>
      </c>
      <c r="Q17" s="82">
        <v>127</v>
      </c>
      <c r="R17" s="83">
        <v>18.780000000000008</v>
      </c>
      <c r="S17" s="83">
        <v>2.0003282031596106</v>
      </c>
      <c r="T17" s="72">
        <v>571.95301712851574</v>
      </c>
      <c r="U17" s="72">
        <v>724.74262876995351</v>
      </c>
      <c r="V17" s="72">
        <v>223.26247694518977</v>
      </c>
      <c r="W17" s="83">
        <v>0.30805759865890459</v>
      </c>
      <c r="X17" s="82">
        <v>138.45000000000005</v>
      </c>
      <c r="Y17" s="82">
        <v>33.799999999999997</v>
      </c>
      <c r="Z17" s="82">
        <v>0</v>
      </c>
      <c r="AA17" s="82">
        <v>0</v>
      </c>
      <c r="AB17" s="82">
        <v>0.4428521427322778</v>
      </c>
      <c r="AC17" s="82">
        <v>2.9344424750453939</v>
      </c>
      <c r="AD17" s="82">
        <v>35.897388534634416</v>
      </c>
      <c r="AE17" s="82">
        <v>137.82660854247675</v>
      </c>
      <c r="AF17" s="82">
        <v>0</v>
      </c>
      <c r="AG17" s="82">
        <v>173.72399707711116</v>
      </c>
      <c r="AH17" s="83">
        <v>0.20663458746205746</v>
      </c>
      <c r="AI17" s="83">
        <v>1.4860137024364728</v>
      </c>
      <c r="AJ17" s="83">
        <v>3.1289488512934023</v>
      </c>
      <c r="AK17" s="83">
        <v>4.6149625537298746</v>
      </c>
      <c r="AL17" s="83">
        <v>3.0140434387600625</v>
      </c>
      <c r="AM17" s="83">
        <v>7.6290059924899367</v>
      </c>
      <c r="AN17" s="83">
        <v>5.6478333333333328</v>
      </c>
      <c r="AO17" s="83">
        <v>5.6</v>
      </c>
      <c r="AP17" s="83">
        <v>5.8577385494874568</v>
      </c>
      <c r="AQ17" s="83">
        <v>8.237914539306308</v>
      </c>
      <c r="AR17" s="83">
        <v>0.49</v>
      </c>
      <c r="AS17" s="83">
        <v>0</v>
      </c>
      <c r="AT17" s="83">
        <v>0.75397278339468066</v>
      </c>
    </row>
    <row r="18" spans="1:46" s="76" customFormat="1" x14ac:dyDescent="0.2">
      <c r="A18" s="82" t="s">
        <v>786</v>
      </c>
      <c r="B18" s="82" t="s">
        <v>783</v>
      </c>
      <c r="C18" s="82" t="s">
        <v>784</v>
      </c>
      <c r="D18" s="82" t="s">
        <v>693</v>
      </c>
      <c r="E18" s="82" t="s">
        <v>767</v>
      </c>
      <c r="F18" s="82">
        <v>1997</v>
      </c>
      <c r="G18" s="82">
        <v>312</v>
      </c>
      <c r="H18" s="82">
        <v>4</v>
      </c>
      <c r="I18" s="82">
        <v>23</v>
      </c>
      <c r="J18" s="82">
        <v>30</v>
      </c>
      <c r="K18" s="82">
        <v>62</v>
      </c>
      <c r="L18" s="82">
        <v>62</v>
      </c>
      <c r="M18" s="76">
        <v>73</v>
      </c>
      <c r="N18" s="82">
        <v>77</v>
      </c>
      <c r="O18" s="82">
        <v>108</v>
      </c>
      <c r="P18" s="82">
        <v>109</v>
      </c>
      <c r="Q18" s="82">
        <v>114</v>
      </c>
      <c r="R18" s="83">
        <v>18.641999999999996</v>
      </c>
      <c r="S18" s="83">
        <v>1.9429968306824357</v>
      </c>
      <c r="T18" s="72">
        <v>511.82794129718337</v>
      </c>
      <c r="U18" s="72">
        <v>727.26960427242989</v>
      </c>
      <c r="V18" s="72">
        <v>264.80669895476956</v>
      </c>
      <c r="W18" s="83">
        <v>0.36411076959359245</v>
      </c>
      <c r="X18" s="82">
        <v>138.45000000000005</v>
      </c>
      <c r="Y18" s="82">
        <v>79.2</v>
      </c>
      <c r="Z18" s="82">
        <v>0</v>
      </c>
      <c r="AA18" s="82">
        <v>0</v>
      </c>
      <c r="AB18" s="82">
        <v>2.3119126391407541</v>
      </c>
      <c r="AC18" s="82">
        <v>7.3659431163662035</v>
      </c>
      <c r="AD18" s="82">
        <v>72.754655682904001</v>
      </c>
      <c r="AE18" s="82">
        <v>138.64336283606499</v>
      </c>
      <c r="AF18" s="82">
        <v>0</v>
      </c>
      <c r="AG18" s="82">
        <v>211.398018518969</v>
      </c>
      <c r="AH18" s="83">
        <v>0.34415957515126799</v>
      </c>
      <c r="AI18" s="83">
        <v>1.3563045132143121</v>
      </c>
      <c r="AJ18" s="83">
        <v>2.6675234256631546</v>
      </c>
      <c r="AK18" s="83">
        <v>4.0238279388774671</v>
      </c>
      <c r="AL18" s="83">
        <v>3.5748904358893894</v>
      </c>
      <c r="AM18" s="83">
        <v>7.5987183747668547</v>
      </c>
      <c r="AN18" s="83">
        <v>5.6478333333333328</v>
      </c>
      <c r="AO18" s="83">
        <v>5.6</v>
      </c>
      <c r="AP18" s="83">
        <v>7.1442763300947369</v>
      </c>
      <c r="AQ18" s="83">
        <v>9.1347690216574087</v>
      </c>
      <c r="AR18" s="83">
        <v>0.49</v>
      </c>
      <c r="AS18" s="83">
        <v>0</v>
      </c>
      <c r="AT18" s="83">
        <v>1.1739328201670762</v>
      </c>
    </row>
    <row r="19" spans="1:46" s="76" customFormat="1" x14ac:dyDescent="0.2">
      <c r="A19" s="82" t="s">
        <v>786</v>
      </c>
      <c r="B19" s="82" t="s">
        <v>783</v>
      </c>
      <c r="C19" s="82" t="s">
        <v>784</v>
      </c>
      <c r="D19" s="82" t="s">
        <v>693</v>
      </c>
      <c r="E19" s="82" t="s">
        <v>767</v>
      </c>
      <c r="F19" s="82">
        <v>1998</v>
      </c>
      <c r="G19" s="82">
        <v>312</v>
      </c>
      <c r="H19" s="82">
        <v>4</v>
      </c>
      <c r="I19" s="82">
        <v>30</v>
      </c>
      <c r="J19" s="82">
        <v>40</v>
      </c>
      <c r="K19" s="82">
        <v>83</v>
      </c>
      <c r="L19" s="82">
        <v>83</v>
      </c>
      <c r="M19" s="76">
        <v>93</v>
      </c>
      <c r="N19" s="82">
        <v>96</v>
      </c>
      <c r="O19" s="82">
        <v>125</v>
      </c>
      <c r="P19" s="82">
        <v>127</v>
      </c>
      <c r="Q19" s="82">
        <v>131</v>
      </c>
      <c r="R19" s="83">
        <v>18.915999999999997</v>
      </c>
      <c r="S19" s="83">
        <v>1.5730285133771309</v>
      </c>
      <c r="T19" s="72">
        <v>473.36604211327341</v>
      </c>
      <c r="U19" s="72">
        <v>540.31513643532571</v>
      </c>
      <c r="V19" s="72">
        <v>155.28705748382328</v>
      </c>
      <c r="W19" s="83">
        <v>0.28740089651070094</v>
      </c>
      <c r="X19" s="82">
        <v>138.45000000000005</v>
      </c>
      <c r="Y19" s="82">
        <v>16.399999999999999</v>
      </c>
      <c r="Z19" s="82">
        <v>0</v>
      </c>
      <c r="AA19" s="82">
        <v>0</v>
      </c>
      <c r="AB19" s="82">
        <v>0.73675841857747315</v>
      </c>
      <c r="AC19" s="82">
        <v>0.3798875578072286</v>
      </c>
      <c r="AD19" s="82">
        <v>58.900528475193127</v>
      </c>
      <c r="AE19" s="82">
        <v>111.30094921780494</v>
      </c>
      <c r="AF19" s="82">
        <v>0</v>
      </c>
      <c r="AG19" s="82">
        <v>170.20147769299808</v>
      </c>
      <c r="AH19" s="83">
        <v>0.34606353489362734</v>
      </c>
      <c r="AI19" s="83">
        <v>1.0949152933681321</v>
      </c>
      <c r="AJ19" s="83">
        <v>2.0449863757077154</v>
      </c>
      <c r="AK19" s="83">
        <v>3.1399016690758472</v>
      </c>
      <c r="AL19" s="83">
        <v>2.0963752760316154</v>
      </c>
      <c r="AM19" s="83">
        <v>5.2362769451074627</v>
      </c>
      <c r="AN19" s="83">
        <v>5.6478333333333328</v>
      </c>
      <c r="AO19" s="83">
        <v>5.6</v>
      </c>
      <c r="AP19" s="83">
        <v>7.011668580275221</v>
      </c>
      <c r="AQ19" s="83">
        <v>12.538554129833553</v>
      </c>
      <c r="AR19" s="83">
        <v>0.49</v>
      </c>
      <c r="AS19" s="83">
        <v>0</v>
      </c>
      <c r="AT19" s="83">
        <v>0</v>
      </c>
    </row>
    <row r="20" spans="1:46" s="76" customFormat="1" x14ac:dyDescent="0.2">
      <c r="A20" s="82" t="s">
        <v>786</v>
      </c>
      <c r="B20" s="82" t="s">
        <v>783</v>
      </c>
      <c r="C20" s="82" t="s">
        <v>784</v>
      </c>
      <c r="D20" s="82" t="s">
        <v>693</v>
      </c>
      <c r="E20" s="82" t="s">
        <v>767</v>
      </c>
      <c r="F20" s="82">
        <v>1999</v>
      </c>
      <c r="G20" s="82">
        <v>312</v>
      </c>
      <c r="H20" s="82">
        <v>4</v>
      </c>
      <c r="I20" s="82">
        <v>31</v>
      </c>
      <c r="J20" s="82">
        <v>41</v>
      </c>
      <c r="K20" s="82">
        <v>80</v>
      </c>
      <c r="L20" s="82">
        <v>80</v>
      </c>
      <c r="M20" s="76">
        <v>91</v>
      </c>
      <c r="N20" s="82">
        <v>94</v>
      </c>
      <c r="O20" s="82">
        <v>125</v>
      </c>
      <c r="P20" s="82">
        <v>127</v>
      </c>
      <c r="Q20" s="82">
        <v>132</v>
      </c>
      <c r="R20" s="83">
        <v>18.942000000000004</v>
      </c>
      <c r="S20" s="83">
        <v>1.688477496055141</v>
      </c>
      <c r="T20" s="72">
        <v>459.31137679166807</v>
      </c>
      <c r="U20" s="72">
        <v>557.93747815907841</v>
      </c>
      <c r="V20" s="72">
        <v>189.4934005221757</v>
      </c>
      <c r="W20" s="83">
        <v>0.33963195616665143</v>
      </c>
      <c r="X20" s="82">
        <v>138.45000000000005</v>
      </c>
      <c r="Y20" s="82">
        <v>57.800000000000004</v>
      </c>
      <c r="Z20" s="82">
        <v>0</v>
      </c>
      <c r="AA20" s="82">
        <v>0</v>
      </c>
      <c r="AB20" s="82">
        <v>1.0653508827330391</v>
      </c>
      <c r="AC20" s="82">
        <v>17.314988484196672</v>
      </c>
      <c r="AD20" s="82">
        <v>39.204012141109018</v>
      </c>
      <c r="AE20" s="82">
        <v>135.55685017743664</v>
      </c>
      <c r="AF20" s="82">
        <v>0</v>
      </c>
      <c r="AG20" s="82">
        <v>174.76086231854566</v>
      </c>
      <c r="AH20" s="83">
        <v>0.22432946014168345</v>
      </c>
      <c r="AI20" s="83">
        <v>1.289104109089992</v>
      </c>
      <c r="AJ20" s="83">
        <v>2.260005359095612</v>
      </c>
      <c r="AK20" s="83">
        <v>3.5491094681856037</v>
      </c>
      <c r="AL20" s="83">
        <v>2.558160907049372</v>
      </c>
      <c r="AM20" s="83">
        <v>6.1072703752349744</v>
      </c>
      <c r="AN20" s="83">
        <v>5.6478333333333328</v>
      </c>
      <c r="AO20" s="83">
        <v>5.6</v>
      </c>
      <c r="AP20" s="83">
        <v>7.3776066347801361</v>
      </c>
      <c r="AQ20" s="83">
        <v>10.797896288883944</v>
      </c>
      <c r="AR20" s="83">
        <v>0.49</v>
      </c>
      <c r="AS20" s="83">
        <v>0</v>
      </c>
      <c r="AT20" s="83">
        <v>1.2355903314987415</v>
      </c>
    </row>
    <row r="21" spans="1:46" s="76" customFormat="1" x14ac:dyDescent="0.2">
      <c r="A21" s="82" t="s">
        <v>789</v>
      </c>
      <c r="B21" s="82" t="s">
        <v>783</v>
      </c>
      <c r="C21" s="82" t="s">
        <v>785</v>
      </c>
      <c r="D21" s="82" t="s">
        <v>693</v>
      </c>
      <c r="E21" s="82" t="s">
        <v>767</v>
      </c>
      <c r="F21" s="82">
        <v>1990</v>
      </c>
      <c r="G21" s="82">
        <v>312</v>
      </c>
      <c r="H21" s="82">
        <v>4</v>
      </c>
      <c r="I21" s="82">
        <v>25</v>
      </c>
      <c r="J21" s="82">
        <v>32</v>
      </c>
      <c r="K21" s="82">
        <v>68</v>
      </c>
      <c r="L21" s="82">
        <v>68</v>
      </c>
      <c r="M21" s="76">
        <v>79</v>
      </c>
      <c r="N21" s="82">
        <v>83</v>
      </c>
      <c r="O21" s="82">
        <v>115</v>
      </c>
      <c r="P21" s="82">
        <v>116</v>
      </c>
      <c r="Q21" s="82">
        <v>121</v>
      </c>
      <c r="R21" s="83">
        <v>18.758000000000003</v>
      </c>
      <c r="S21" s="83">
        <v>1.9637782806488187</v>
      </c>
      <c r="T21" s="72">
        <v>538.44911502406273</v>
      </c>
      <c r="U21" s="72">
        <v>1146.028763794566</v>
      </c>
      <c r="V21" s="72">
        <v>597.35269579392536</v>
      </c>
      <c r="W21" s="83">
        <v>0.52123708361706911</v>
      </c>
      <c r="X21" s="82">
        <v>138.45000000000005</v>
      </c>
      <c r="Y21" s="82">
        <v>26.3</v>
      </c>
      <c r="Z21" s="82">
        <v>382.50017249177188</v>
      </c>
      <c r="AA21" s="82">
        <v>4</v>
      </c>
      <c r="AB21" s="82">
        <v>116.23119546881797</v>
      </c>
      <c r="AC21" s="82">
        <v>0</v>
      </c>
      <c r="AD21" s="82">
        <v>59.418427439192598</v>
      </c>
      <c r="AE21" s="82">
        <v>237.58445855523107</v>
      </c>
      <c r="AF21" s="82">
        <v>132.56571657814337</v>
      </c>
      <c r="AG21" s="82">
        <v>297.00288599442365</v>
      </c>
      <c r="AH21" s="83">
        <v>0.20006009449924086</v>
      </c>
      <c r="AI21" s="83">
        <v>0.86016537551598682</v>
      </c>
      <c r="AJ21" s="83">
        <v>1.8634387964918098</v>
      </c>
      <c r="AK21" s="83">
        <v>2.7236041720077964</v>
      </c>
      <c r="AL21" s="83">
        <v>8.0642613932179916</v>
      </c>
      <c r="AM21" s="83">
        <v>10.787865565225786</v>
      </c>
      <c r="AN21" s="83">
        <v>5.6478333333333328</v>
      </c>
      <c r="AO21" s="83">
        <v>5.6</v>
      </c>
      <c r="AP21" s="83">
        <v>10.13172037073624</v>
      </c>
      <c r="AQ21" s="83">
        <v>5.8318255136829498</v>
      </c>
      <c r="AR21" s="83">
        <v>0.49</v>
      </c>
      <c r="AS21" s="83">
        <v>0.99510898894126754</v>
      </c>
      <c r="AT21" s="83">
        <v>3.2800596677788509</v>
      </c>
    </row>
    <row r="22" spans="1:46" s="76" customFormat="1" x14ac:dyDescent="0.2">
      <c r="A22" s="82" t="s">
        <v>789</v>
      </c>
      <c r="B22" s="82" t="s">
        <v>783</v>
      </c>
      <c r="C22" s="82" t="s">
        <v>785</v>
      </c>
      <c r="D22" s="82" t="s">
        <v>693</v>
      </c>
      <c r="E22" s="82" t="s">
        <v>767</v>
      </c>
      <c r="F22" s="82">
        <v>1991</v>
      </c>
      <c r="G22" s="82">
        <v>312</v>
      </c>
      <c r="H22" s="82">
        <v>4</v>
      </c>
      <c r="I22" s="82">
        <v>27</v>
      </c>
      <c r="J22" s="82">
        <v>36</v>
      </c>
      <c r="K22" s="82">
        <v>75</v>
      </c>
      <c r="L22" s="82">
        <v>75</v>
      </c>
      <c r="M22" s="76">
        <v>87</v>
      </c>
      <c r="N22" s="82">
        <v>90</v>
      </c>
      <c r="O22" s="82">
        <v>123</v>
      </c>
      <c r="P22" s="82">
        <v>125</v>
      </c>
      <c r="Q22" s="82">
        <v>130</v>
      </c>
      <c r="R22" s="83">
        <v>18.775999999999996</v>
      </c>
      <c r="S22" s="83">
        <v>2.0147296290454335</v>
      </c>
      <c r="T22" s="72">
        <v>654.09525833825455</v>
      </c>
      <c r="U22" s="72">
        <v>1262.5156845925248</v>
      </c>
      <c r="V22" s="72">
        <v>655.68683939206164</v>
      </c>
      <c r="W22" s="83">
        <v>0.51934945616948047</v>
      </c>
      <c r="X22" s="82">
        <v>138.45000000000005</v>
      </c>
      <c r="Y22" s="82">
        <v>2</v>
      </c>
      <c r="Z22" s="82">
        <v>299.61062433034488</v>
      </c>
      <c r="AA22" s="82">
        <v>5</v>
      </c>
      <c r="AB22" s="82">
        <v>93.991701198899449</v>
      </c>
      <c r="AC22" s="82">
        <v>0</v>
      </c>
      <c r="AD22" s="82">
        <v>58.372722905649496</v>
      </c>
      <c r="AE22" s="82">
        <v>285.72074641778249</v>
      </c>
      <c r="AF22" s="82">
        <v>0</v>
      </c>
      <c r="AG22" s="82">
        <v>344.09346932343198</v>
      </c>
      <c r="AH22" s="83">
        <v>0.16964204907464067</v>
      </c>
      <c r="AI22" s="83">
        <v>0.92772766051611943</v>
      </c>
      <c r="AJ22" s="83">
        <v>2.2702691751033268</v>
      </c>
      <c r="AK22" s="83">
        <v>3.1979968356194464</v>
      </c>
      <c r="AL22" s="83">
        <v>8.8517723317928336</v>
      </c>
      <c r="AM22" s="83">
        <v>12.049769167412276</v>
      </c>
      <c r="AN22" s="83">
        <v>5.6478333333333328</v>
      </c>
      <c r="AO22" s="83">
        <v>5.6</v>
      </c>
      <c r="AP22" s="83">
        <v>15.110625079771465</v>
      </c>
      <c r="AQ22" s="83">
        <v>9.7305828242385459</v>
      </c>
      <c r="AR22" s="83">
        <v>0.49</v>
      </c>
      <c r="AS22" s="83">
        <v>0</v>
      </c>
      <c r="AT22" s="83">
        <v>4.0934107166793057</v>
      </c>
    </row>
    <row r="23" spans="1:46" s="76" customFormat="1" x14ac:dyDescent="0.2">
      <c r="A23" s="82" t="s">
        <v>789</v>
      </c>
      <c r="B23" s="82" t="s">
        <v>783</v>
      </c>
      <c r="C23" s="82" t="s">
        <v>785</v>
      </c>
      <c r="D23" s="82" t="s">
        <v>693</v>
      </c>
      <c r="E23" s="82" t="s">
        <v>767</v>
      </c>
      <c r="F23" s="82">
        <v>1992</v>
      </c>
      <c r="G23" s="82">
        <v>312</v>
      </c>
      <c r="H23" s="82">
        <v>3</v>
      </c>
      <c r="I23" s="82">
        <v>25</v>
      </c>
      <c r="J23" s="82">
        <v>34</v>
      </c>
      <c r="K23" s="82">
        <v>73</v>
      </c>
      <c r="L23" s="82">
        <v>73</v>
      </c>
      <c r="M23" s="76">
        <v>84</v>
      </c>
      <c r="N23" s="82">
        <v>88</v>
      </c>
      <c r="O23" s="82">
        <v>123</v>
      </c>
      <c r="P23" s="82">
        <v>124</v>
      </c>
      <c r="Q23" s="82">
        <v>130</v>
      </c>
      <c r="R23" s="83">
        <v>19.115000000000006</v>
      </c>
      <c r="S23" s="83">
        <v>2.0843657058141489</v>
      </c>
      <c r="T23" s="72">
        <v>649.455998901047</v>
      </c>
      <c r="U23" s="72">
        <v>1258.0750089433013</v>
      </c>
      <c r="V23" s="72">
        <v>635.9338319402251</v>
      </c>
      <c r="W23" s="83">
        <v>0.5054816464556835</v>
      </c>
      <c r="X23" s="82">
        <v>138.45000000000005</v>
      </c>
      <c r="Y23" s="82">
        <v>77</v>
      </c>
      <c r="Z23" s="82">
        <v>293.67607163294122</v>
      </c>
      <c r="AA23" s="82">
        <v>5</v>
      </c>
      <c r="AB23" s="82">
        <v>88.645987824236272</v>
      </c>
      <c r="AC23" s="82">
        <v>0</v>
      </c>
      <c r="AD23" s="82">
        <v>85.790539225205265</v>
      </c>
      <c r="AE23" s="82">
        <v>287.08886334781596</v>
      </c>
      <c r="AF23" s="82">
        <v>45.391519804948722</v>
      </c>
      <c r="AG23" s="82">
        <v>372.87940257302125</v>
      </c>
      <c r="AH23" s="83">
        <v>0.23007582701660914</v>
      </c>
      <c r="AI23" s="83">
        <v>0.92399888220225479</v>
      </c>
      <c r="AJ23" s="83">
        <v>2.1579687367744578</v>
      </c>
      <c r="AK23" s="83">
        <v>3.0819676189767127</v>
      </c>
      <c r="AL23" s="83">
        <v>8.58510673119304</v>
      </c>
      <c r="AM23" s="83">
        <v>11.667074350169754</v>
      </c>
      <c r="AN23" s="83">
        <v>5.6478333333333328</v>
      </c>
      <c r="AO23" s="83">
        <v>5.6</v>
      </c>
      <c r="AP23" s="83">
        <v>13.493280396539333</v>
      </c>
      <c r="AQ23" s="83">
        <v>8.4018159840052942</v>
      </c>
      <c r="AR23" s="83">
        <v>0.49</v>
      </c>
      <c r="AS23" s="83">
        <v>0.40623488320023404</v>
      </c>
      <c r="AT23" s="83">
        <v>3.7812949517213528</v>
      </c>
    </row>
    <row r="24" spans="1:46" s="76" customFormat="1" x14ac:dyDescent="0.2">
      <c r="A24" s="82" t="s">
        <v>789</v>
      </c>
      <c r="B24" s="82" t="s">
        <v>783</v>
      </c>
      <c r="C24" s="82" t="s">
        <v>785</v>
      </c>
      <c r="D24" s="82" t="s">
        <v>693</v>
      </c>
      <c r="E24" s="82" t="s">
        <v>767</v>
      </c>
      <c r="F24" s="82">
        <v>1993</v>
      </c>
      <c r="G24" s="82">
        <v>312</v>
      </c>
      <c r="H24" s="82">
        <v>4</v>
      </c>
      <c r="I24" s="82">
        <v>28</v>
      </c>
      <c r="J24" s="82">
        <v>37</v>
      </c>
      <c r="K24" s="82">
        <v>76</v>
      </c>
      <c r="L24" s="82">
        <v>76</v>
      </c>
      <c r="M24" s="76">
        <v>87</v>
      </c>
      <c r="N24" s="82">
        <v>90</v>
      </c>
      <c r="O24" s="82">
        <v>121</v>
      </c>
      <c r="P24" s="82">
        <v>122</v>
      </c>
      <c r="Q24" s="82">
        <v>128</v>
      </c>
      <c r="R24" s="83">
        <v>18.836000000000006</v>
      </c>
      <c r="S24" s="83">
        <v>2.0158583233284912</v>
      </c>
      <c r="T24" s="72">
        <v>590.37308223475668</v>
      </c>
      <c r="U24" s="72">
        <v>1111.1892876258134</v>
      </c>
      <c r="V24" s="72">
        <v>553.67285375688652</v>
      </c>
      <c r="W24" s="83">
        <v>0.4982705061503685</v>
      </c>
      <c r="X24" s="82">
        <v>138.45000000000005</v>
      </c>
      <c r="Y24" s="82">
        <v>36.4</v>
      </c>
      <c r="Z24" s="82">
        <v>219.86808852825197</v>
      </c>
      <c r="AA24" s="82">
        <v>4</v>
      </c>
      <c r="AB24" s="82">
        <v>79.901444629170172</v>
      </c>
      <c r="AC24" s="82">
        <v>0</v>
      </c>
      <c r="AD24" s="82">
        <v>85.427017970918911</v>
      </c>
      <c r="AE24" s="82">
        <v>227.58487078399637</v>
      </c>
      <c r="AF24" s="82">
        <v>0</v>
      </c>
      <c r="AG24" s="82">
        <v>313.01188875491528</v>
      </c>
      <c r="AH24" s="83">
        <v>0.27291939479210436</v>
      </c>
      <c r="AI24" s="83">
        <v>0.79469945490118898</v>
      </c>
      <c r="AJ24" s="83">
        <v>1.6453570901946475</v>
      </c>
      <c r="AK24" s="83">
        <v>2.4400565450958362</v>
      </c>
      <c r="AL24" s="83">
        <v>7.4745835257179669</v>
      </c>
      <c r="AM24" s="83">
        <v>9.9146400708138049</v>
      </c>
      <c r="AN24" s="83">
        <v>5.6478333333333328</v>
      </c>
      <c r="AO24" s="83">
        <v>5.6</v>
      </c>
      <c r="AP24" s="83">
        <v>14.857161287342675</v>
      </c>
      <c r="AQ24" s="83">
        <v>11.685614929861192</v>
      </c>
      <c r="AR24" s="83">
        <v>0.49</v>
      </c>
      <c r="AS24" s="83">
        <v>0</v>
      </c>
      <c r="AT24" s="83">
        <v>4.0200428585472707</v>
      </c>
    </row>
    <row r="25" spans="1:46" s="76" customFormat="1" x14ac:dyDescent="0.2">
      <c r="A25" s="82" t="s">
        <v>789</v>
      </c>
      <c r="B25" s="82" t="s">
        <v>783</v>
      </c>
      <c r="C25" s="82" t="s">
        <v>785</v>
      </c>
      <c r="D25" s="82" t="s">
        <v>693</v>
      </c>
      <c r="E25" s="82" t="s">
        <v>767</v>
      </c>
      <c r="F25" s="82">
        <v>1994</v>
      </c>
      <c r="G25" s="82">
        <v>312</v>
      </c>
      <c r="H25" s="82">
        <v>4</v>
      </c>
      <c r="I25" s="82">
        <v>30</v>
      </c>
      <c r="J25" s="82">
        <v>39</v>
      </c>
      <c r="K25" s="82">
        <v>81</v>
      </c>
      <c r="L25" s="82">
        <v>81</v>
      </c>
      <c r="M25" s="76">
        <v>93</v>
      </c>
      <c r="N25" s="82">
        <v>96</v>
      </c>
      <c r="O25" s="82">
        <v>127</v>
      </c>
      <c r="P25" s="82">
        <v>128</v>
      </c>
      <c r="Q25" s="82">
        <v>133</v>
      </c>
      <c r="R25" s="83">
        <v>18.904000000000007</v>
      </c>
      <c r="S25" s="83">
        <v>2.0463512750251605</v>
      </c>
      <c r="T25" s="72">
        <v>640.72078853672519</v>
      </c>
      <c r="U25" s="72">
        <v>1213.0946492652081</v>
      </c>
      <c r="V25" s="72">
        <v>608.16689922884962</v>
      </c>
      <c r="W25" s="83">
        <v>0.50133507272814681</v>
      </c>
      <c r="X25" s="82">
        <v>138.45000000000005</v>
      </c>
      <c r="Y25" s="82">
        <v>47.8</v>
      </c>
      <c r="Z25" s="82">
        <v>297.74206914279824</v>
      </c>
      <c r="AA25" s="82">
        <v>5</v>
      </c>
      <c r="AB25" s="82">
        <v>146.87907849939364</v>
      </c>
      <c r="AC25" s="82">
        <v>0</v>
      </c>
      <c r="AD25" s="82">
        <v>81.405110564941594</v>
      </c>
      <c r="AE25" s="82">
        <v>254.02275477587483</v>
      </c>
      <c r="AF25" s="82">
        <v>0</v>
      </c>
      <c r="AG25" s="82">
        <v>335.42786534081642</v>
      </c>
      <c r="AH25" s="83">
        <v>0.24269035625685176</v>
      </c>
      <c r="AI25" s="83">
        <v>0.92404714714680913</v>
      </c>
      <c r="AJ25" s="83">
        <v>2.1829954203799535</v>
      </c>
      <c r="AK25" s="83">
        <v>3.1070425675267628</v>
      </c>
      <c r="AL25" s="83">
        <v>8.2102531395894722</v>
      </c>
      <c r="AM25" s="83">
        <v>11.317295707116234</v>
      </c>
      <c r="AN25" s="83">
        <v>5.6478333333333328</v>
      </c>
      <c r="AO25" s="83">
        <v>5.6</v>
      </c>
      <c r="AP25" s="83">
        <v>12.679844504058019</v>
      </c>
      <c r="AQ25" s="83">
        <v>6.8240333601685279</v>
      </c>
      <c r="AR25" s="83">
        <v>0.49</v>
      </c>
      <c r="AS25" s="83">
        <v>0</v>
      </c>
      <c r="AT25" s="83">
        <v>5.3016531933372786</v>
      </c>
    </row>
    <row r="26" spans="1:46" s="76" customFormat="1" x14ac:dyDescent="0.2">
      <c r="A26" s="82" t="s">
        <v>789</v>
      </c>
      <c r="B26" s="82" t="s">
        <v>783</v>
      </c>
      <c r="C26" s="82" t="s">
        <v>785</v>
      </c>
      <c r="D26" s="82" t="s">
        <v>693</v>
      </c>
      <c r="E26" s="82" t="s">
        <v>767</v>
      </c>
      <c r="F26" s="82">
        <v>1995</v>
      </c>
      <c r="G26" s="82">
        <v>312</v>
      </c>
      <c r="H26" s="82">
        <v>4</v>
      </c>
      <c r="I26" s="82">
        <v>25</v>
      </c>
      <c r="J26" s="82">
        <v>33</v>
      </c>
      <c r="K26" s="82">
        <v>68</v>
      </c>
      <c r="L26" s="82">
        <v>68</v>
      </c>
      <c r="M26" s="82">
        <v>79</v>
      </c>
      <c r="N26" s="82">
        <v>82</v>
      </c>
      <c r="O26" s="82">
        <v>115</v>
      </c>
      <c r="P26" s="82">
        <v>117</v>
      </c>
      <c r="Q26" s="82">
        <v>123</v>
      </c>
      <c r="R26" s="83">
        <v>18.704999999999998</v>
      </c>
      <c r="S26" s="83">
        <v>1.9538604557163175</v>
      </c>
      <c r="T26" s="72">
        <v>574.83050196774263</v>
      </c>
      <c r="U26" s="72">
        <v>1105.2256287400012</v>
      </c>
      <c r="V26" s="72">
        <v>565.4373761892117</v>
      </c>
      <c r="W26" s="83">
        <v>0.51160356434893384</v>
      </c>
      <c r="X26" s="82">
        <v>138.45000000000005</v>
      </c>
      <c r="Y26" s="82">
        <v>13</v>
      </c>
      <c r="Z26" s="82">
        <v>288.23289341863676</v>
      </c>
      <c r="AA26" s="82">
        <v>5</v>
      </c>
      <c r="AB26" s="82">
        <v>127.97744492092397</v>
      </c>
      <c r="AC26" s="82">
        <v>0</v>
      </c>
      <c r="AD26" s="82">
        <v>85.030691315466512</v>
      </c>
      <c r="AE26" s="82">
        <v>224.73222672188882</v>
      </c>
      <c r="AF26" s="82">
        <v>0</v>
      </c>
      <c r="AG26" s="82">
        <v>309.76291803735535</v>
      </c>
      <c r="AH26" s="83">
        <v>0.27450247792470628</v>
      </c>
      <c r="AI26" s="83">
        <v>0.89225154094378467</v>
      </c>
      <c r="AJ26" s="83">
        <v>1.9348002904288195</v>
      </c>
      <c r="AK26" s="83">
        <v>2.8270518313726041</v>
      </c>
      <c r="AL26" s="83">
        <v>7.6334045785543578</v>
      </c>
      <c r="AM26" s="83">
        <v>10.460456409926961</v>
      </c>
      <c r="AN26" s="83">
        <v>5.6478333333333328</v>
      </c>
      <c r="AO26" s="83">
        <v>5.6</v>
      </c>
      <c r="AP26" s="83">
        <v>13.145452444231342</v>
      </c>
      <c r="AQ26" s="83">
        <v>9.4003340715071104</v>
      </c>
      <c r="AR26" s="83">
        <v>0.49</v>
      </c>
      <c r="AS26" s="83">
        <v>0</v>
      </c>
      <c r="AT26" s="83">
        <v>4.0477985063836526</v>
      </c>
    </row>
    <row r="27" spans="1:46" s="76" customFormat="1" x14ac:dyDescent="0.2">
      <c r="A27" s="82" t="s">
        <v>789</v>
      </c>
      <c r="B27" s="82" t="s">
        <v>783</v>
      </c>
      <c r="C27" s="82" t="s">
        <v>785</v>
      </c>
      <c r="D27" s="82" t="s">
        <v>693</v>
      </c>
      <c r="E27" s="82" t="s">
        <v>767</v>
      </c>
      <c r="F27" s="82">
        <v>1996</v>
      </c>
      <c r="G27" s="82">
        <v>312</v>
      </c>
      <c r="H27" s="82">
        <v>4</v>
      </c>
      <c r="I27" s="82">
        <v>27</v>
      </c>
      <c r="J27" s="82">
        <v>36</v>
      </c>
      <c r="K27" s="82">
        <v>73</v>
      </c>
      <c r="L27" s="82">
        <v>73</v>
      </c>
      <c r="M27" s="82">
        <v>85</v>
      </c>
      <c r="N27" s="82">
        <v>89</v>
      </c>
      <c r="O27" s="82">
        <v>123</v>
      </c>
      <c r="P27" s="82">
        <v>125</v>
      </c>
      <c r="Q27" s="82">
        <v>130</v>
      </c>
      <c r="R27" s="83">
        <v>18.780000000000008</v>
      </c>
      <c r="S27" s="83">
        <v>2.0003282031596106</v>
      </c>
      <c r="T27" s="72">
        <v>571.95301712851574</v>
      </c>
      <c r="U27" s="72">
        <v>1225.9135049620218</v>
      </c>
      <c r="V27" s="72">
        <v>647.65468530496128</v>
      </c>
      <c r="W27" s="83">
        <v>0.52830373219682247</v>
      </c>
      <c r="X27" s="82">
        <v>138.45000000000005</v>
      </c>
      <c r="Y27" s="82">
        <v>33.799999999999997</v>
      </c>
      <c r="Z27" s="82">
        <v>314.37443290300024</v>
      </c>
      <c r="AA27" s="82">
        <v>5</v>
      </c>
      <c r="AB27" s="82">
        <v>131.31433965320568</v>
      </c>
      <c r="AC27" s="82">
        <v>0</v>
      </c>
      <c r="AD27" s="82">
        <v>83.886170839262832</v>
      </c>
      <c r="AE27" s="82">
        <v>269.76579228676604</v>
      </c>
      <c r="AF27" s="82">
        <v>0</v>
      </c>
      <c r="AG27" s="82">
        <v>353.65196312602887</v>
      </c>
      <c r="AH27" s="83">
        <v>0.23719978174522674</v>
      </c>
      <c r="AI27" s="83">
        <v>0.92721084248507091</v>
      </c>
      <c r="AJ27" s="83">
        <v>2.1278125160810561</v>
      </c>
      <c r="AK27" s="83">
        <v>3.0550233585661273</v>
      </c>
      <c r="AL27" s="83">
        <v>8.7433382516169829</v>
      </c>
      <c r="AM27" s="83">
        <v>11.798361610183115</v>
      </c>
      <c r="AN27" s="83">
        <v>5.6478333333333328</v>
      </c>
      <c r="AO27" s="83">
        <v>5.6</v>
      </c>
      <c r="AP27" s="83">
        <v>10.58619638825615</v>
      </c>
      <c r="AQ27" s="83">
        <v>5.1782840784929478</v>
      </c>
      <c r="AR27" s="83">
        <v>0.49</v>
      </c>
      <c r="AS27" s="83">
        <v>0</v>
      </c>
      <c r="AT27" s="83">
        <v>4.3726907420889853</v>
      </c>
    </row>
    <row r="28" spans="1:46" s="76" customFormat="1" x14ac:dyDescent="0.2">
      <c r="A28" s="82" t="s">
        <v>789</v>
      </c>
      <c r="B28" s="82" t="s">
        <v>783</v>
      </c>
      <c r="C28" s="82" t="s">
        <v>785</v>
      </c>
      <c r="D28" s="82" t="s">
        <v>693</v>
      </c>
      <c r="E28" s="82" t="s">
        <v>767</v>
      </c>
      <c r="F28" s="82">
        <v>1997</v>
      </c>
      <c r="G28" s="82">
        <v>312</v>
      </c>
      <c r="H28" s="82">
        <v>4</v>
      </c>
      <c r="I28" s="82">
        <v>23</v>
      </c>
      <c r="J28" s="82">
        <v>30</v>
      </c>
      <c r="K28" s="82">
        <v>62</v>
      </c>
      <c r="L28" s="82">
        <v>62</v>
      </c>
      <c r="M28" s="82">
        <v>73</v>
      </c>
      <c r="N28" s="82">
        <v>77</v>
      </c>
      <c r="O28" s="82">
        <v>110</v>
      </c>
      <c r="P28" s="82">
        <v>111</v>
      </c>
      <c r="Q28" s="82">
        <v>117</v>
      </c>
      <c r="R28" s="83">
        <v>18.641999999999996</v>
      </c>
      <c r="S28" s="83">
        <v>1.9429968306824357</v>
      </c>
      <c r="T28" s="72">
        <v>511.82794129718337</v>
      </c>
      <c r="U28" s="72">
        <v>1031.8917581732087</v>
      </c>
      <c r="V28" s="72">
        <v>524.28251769698727</v>
      </c>
      <c r="W28" s="83">
        <v>0.50807898063296075</v>
      </c>
      <c r="X28" s="82">
        <v>138.45000000000005</v>
      </c>
      <c r="Y28" s="82">
        <v>108.80000000000001</v>
      </c>
      <c r="Z28" s="82">
        <v>163.18691473445142</v>
      </c>
      <c r="AA28" s="82">
        <v>3</v>
      </c>
      <c r="AB28" s="82">
        <v>104.09101653902243</v>
      </c>
      <c r="AC28" s="82">
        <v>0</v>
      </c>
      <c r="AD28" s="82">
        <v>95.412243783391858</v>
      </c>
      <c r="AE28" s="82">
        <v>201.70895122515145</v>
      </c>
      <c r="AF28" s="82">
        <v>7.6109762955284026</v>
      </c>
      <c r="AG28" s="82">
        <v>297.12119500854328</v>
      </c>
      <c r="AH28" s="83">
        <v>0.32112229681031496</v>
      </c>
      <c r="AI28" s="83">
        <v>0.85707435464198933</v>
      </c>
      <c r="AJ28" s="83">
        <v>1.7179995972491899</v>
      </c>
      <c r="AK28" s="83">
        <v>2.5750739518911794</v>
      </c>
      <c r="AL28" s="83">
        <v>7.0778139889093277</v>
      </c>
      <c r="AM28" s="83">
        <v>9.6528879408005075</v>
      </c>
      <c r="AN28" s="83">
        <v>5.6478333333333328</v>
      </c>
      <c r="AO28" s="83">
        <v>5.6</v>
      </c>
      <c r="AP28" s="83">
        <v>12.33185020497729</v>
      </c>
      <c r="AQ28" s="83">
        <v>9.4970302960849118</v>
      </c>
      <c r="AR28" s="83">
        <v>0.49</v>
      </c>
      <c r="AS28" s="83">
        <v>6.3681128169931281E-2</v>
      </c>
      <c r="AT28" s="83">
        <v>3.88138811861314</v>
      </c>
    </row>
    <row r="29" spans="1:46" s="76" customFormat="1" x14ac:dyDescent="0.2">
      <c r="A29" s="82" t="s">
        <v>789</v>
      </c>
      <c r="B29" s="82" t="s">
        <v>783</v>
      </c>
      <c r="C29" s="82" t="s">
        <v>785</v>
      </c>
      <c r="D29" s="82" t="s">
        <v>693</v>
      </c>
      <c r="E29" s="82" t="s">
        <v>767</v>
      </c>
      <c r="F29" s="82">
        <v>1998</v>
      </c>
      <c r="G29" s="82">
        <v>312</v>
      </c>
      <c r="H29" s="82">
        <v>4</v>
      </c>
      <c r="I29" s="82">
        <v>30</v>
      </c>
      <c r="J29" s="82">
        <v>40</v>
      </c>
      <c r="K29" s="82">
        <v>83</v>
      </c>
      <c r="L29" s="82">
        <v>83</v>
      </c>
      <c r="M29" s="82">
        <v>93</v>
      </c>
      <c r="N29" s="82">
        <v>96</v>
      </c>
      <c r="O29" s="82">
        <v>128</v>
      </c>
      <c r="P29" s="82">
        <v>129</v>
      </c>
      <c r="Q29" s="82">
        <v>134</v>
      </c>
      <c r="R29" s="83">
        <v>18.915999999999997</v>
      </c>
      <c r="S29" s="83">
        <v>1.9952607147131565</v>
      </c>
      <c r="T29" s="72">
        <v>612.6487607580824</v>
      </c>
      <c r="U29" s="72">
        <v>1198.4661469205066</v>
      </c>
      <c r="V29" s="72">
        <v>612.63706524794429</v>
      </c>
      <c r="W29" s="83">
        <v>0.51118428477123867</v>
      </c>
      <c r="X29" s="82">
        <v>138.45000000000005</v>
      </c>
      <c r="Y29" s="82">
        <v>16.399999999999999</v>
      </c>
      <c r="Z29" s="82">
        <v>311.0523766603601</v>
      </c>
      <c r="AA29" s="82">
        <v>6</v>
      </c>
      <c r="AB29" s="82">
        <v>103.14050152979161</v>
      </c>
      <c r="AC29" s="82">
        <v>0</v>
      </c>
      <c r="AD29" s="82">
        <v>86.192043222736686</v>
      </c>
      <c r="AE29" s="82">
        <v>274.7067032922335</v>
      </c>
      <c r="AF29" s="82">
        <v>0</v>
      </c>
      <c r="AG29" s="82">
        <v>360.89874651497018</v>
      </c>
      <c r="AH29" s="83">
        <v>0.2388261019656947</v>
      </c>
      <c r="AI29" s="83">
        <v>0.87012778924725365</v>
      </c>
      <c r="AJ29" s="83">
        <v>2.0053430455936039</v>
      </c>
      <c r="AK29" s="83">
        <v>2.8754708348408577</v>
      </c>
      <c r="AL29" s="83">
        <v>8.270600380847247</v>
      </c>
      <c r="AM29" s="83">
        <v>11.146071215688108</v>
      </c>
      <c r="AN29" s="83">
        <v>5.6478333333333328</v>
      </c>
      <c r="AO29" s="83">
        <v>5.6</v>
      </c>
      <c r="AP29" s="83">
        <v>14.830017648758687</v>
      </c>
      <c r="AQ29" s="83">
        <v>10.446703069344899</v>
      </c>
      <c r="AR29" s="83">
        <v>0.49</v>
      </c>
      <c r="AS29" s="83">
        <v>0</v>
      </c>
      <c r="AT29" s="83">
        <v>4.0003801851779466</v>
      </c>
    </row>
    <row r="30" spans="1:46" s="76" customFormat="1" x14ac:dyDescent="0.2">
      <c r="A30" s="82" t="s">
        <v>789</v>
      </c>
      <c r="B30" s="82" t="s">
        <v>783</v>
      </c>
      <c r="C30" s="82" t="s">
        <v>785</v>
      </c>
      <c r="D30" s="82" t="s">
        <v>693</v>
      </c>
      <c r="E30" s="82" t="s">
        <v>767</v>
      </c>
      <c r="F30" s="82">
        <v>1999</v>
      </c>
      <c r="G30" s="82">
        <v>312</v>
      </c>
      <c r="H30" s="82">
        <v>4</v>
      </c>
      <c r="I30" s="82">
        <v>31</v>
      </c>
      <c r="J30" s="82">
        <v>41</v>
      </c>
      <c r="K30" s="82">
        <v>80</v>
      </c>
      <c r="L30" s="82">
        <v>80</v>
      </c>
      <c r="M30" s="82">
        <v>91</v>
      </c>
      <c r="N30" s="82">
        <v>94</v>
      </c>
      <c r="O30" s="82">
        <v>127</v>
      </c>
      <c r="P30" s="82">
        <v>129</v>
      </c>
      <c r="Q30" s="82">
        <v>135</v>
      </c>
      <c r="R30" s="83">
        <v>18.942000000000004</v>
      </c>
      <c r="S30" s="83">
        <v>2.0363230316191787</v>
      </c>
      <c r="T30" s="72">
        <v>602.92869417627367</v>
      </c>
      <c r="U30" s="72">
        <v>1079.7514572896525</v>
      </c>
      <c r="V30" s="72">
        <v>531.86798534318075</v>
      </c>
      <c r="W30" s="83">
        <v>0.49258371158156772</v>
      </c>
      <c r="X30" s="82">
        <v>138.45000000000005</v>
      </c>
      <c r="Y30" s="82">
        <v>57.800000000000004</v>
      </c>
      <c r="Z30" s="82">
        <v>285.17224588475767</v>
      </c>
      <c r="AA30" s="82">
        <v>5</v>
      </c>
      <c r="AB30" s="82">
        <v>128.22048273612074</v>
      </c>
      <c r="AC30" s="82">
        <v>0</v>
      </c>
      <c r="AD30" s="82">
        <v>83.881501696612574</v>
      </c>
      <c r="AE30" s="82">
        <v>261.63428271743146</v>
      </c>
      <c r="AF30" s="82">
        <v>11.368263895768045</v>
      </c>
      <c r="AG30" s="82">
        <v>345.51578441404405</v>
      </c>
      <c r="AH30" s="83">
        <v>0.24277182997919439</v>
      </c>
      <c r="AI30" s="83">
        <v>0.91578907219681427</v>
      </c>
      <c r="AJ30" s="83">
        <v>1.9337982724771019</v>
      </c>
      <c r="AK30" s="83">
        <v>2.8495873446739162</v>
      </c>
      <c r="AL30" s="83">
        <v>7.1802178021329404</v>
      </c>
      <c r="AM30" s="83">
        <v>10.029805146806858</v>
      </c>
      <c r="AN30" s="83">
        <v>5.6478333333333328</v>
      </c>
      <c r="AO30" s="83">
        <v>5.6</v>
      </c>
      <c r="AP30" s="83">
        <v>13.087281465283109</v>
      </c>
      <c r="AQ30" s="83">
        <v>9.4260626460508234</v>
      </c>
      <c r="AR30" s="83">
        <v>0.49</v>
      </c>
      <c r="AS30" s="83">
        <v>0.22176732132204938</v>
      </c>
      <c r="AT30" s="83">
        <v>4.1727830487841429</v>
      </c>
    </row>
    <row r="31" spans="1:46" s="76" customFormat="1" x14ac:dyDescent="0.2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3"/>
      <c r="S31" s="83"/>
      <c r="T31" s="72"/>
      <c r="U31" s="72"/>
      <c r="V31" s="72"/>
      <c r="W31" s="83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</row>
    <row r="32" spans="1:46" s="76" customFormat="1" x14ac:dyDescent="0.2">
      <c r="A32" s="82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3"/>
      <c r="S32" s="83"/>
      <c r="T32" s="72"/>
      <c r="U32" s="72"/>
      <c r="V32" s="72"/>
      <c r="W32" s="83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</row>
    <row r="33" spans="1:46" s="76" customFormat="1" x14ac:dyDescent="0.2">
      <c r="A33" s="82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3"/>
      <c r="S33" s="83"/>
      <c r="T33" s="72"/>
      <c r="U33" s="72"/>
      <c r="V33" s="72"/>
      <c r="W33" s="83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3"/>
      <c r="AS33" s="83"/>
      <c r="AT33" s="83"/>
    </row>
    <row r="34" spans="1:46" s="76" customFormat="1" x14ac:dyDescent="0.2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3"/>
      <c r="S34" s="83"/>
      <c r="T34" s="72"/>
      <c r="U34" s="72"/>
      <c r="V34" s="72"/>
      <c r="W34" s="83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3"/>
      <c r="AS34" s="83"/>
      <c r="AT34" s="83"/>
    </row>
    <row r="35" spans="1:46" s="76" customFormat="1" x14ac:dyDescent="0.2">
      <c r="A35" s="82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3"/>
      <c r="S35" s="83"/>
      <c r="T35" s="72"/>
      <c r="U35" s="72"/>
      <c r="V35" s="72"/>
      <c r="W35" s="83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</row>
    <row r="43" spans="1:46" s="73" customFormat="1" x14ac:dyDescent="0.2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81"/>
      <c r="S43" s="81"/>
      <c r="T43" s="80"/>
      <c r="U43" s="80"/>
      <c r="V43" s="80"/>
      <c r="W43" s="81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</row>
    <row r="44" spans="1:46" s="72" customFormat="1" x14ac:dyDescent="0.2"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3"/>
      <c r="S44" s="83"/>
      <c r="W44" s="83"/>
      <c r="AC44" s="82"/>
      <c r="AD44" s="82"/>
      <c r="AE44" s="82"/>
      <c r="AF44" s="82"/>
      <c r="AG44" s="82"/>
      <c r="AP44" s="83"/>
      <c r="AQ44" s="83"/>
      <c r="AR44" s="83"/>
      <c r="AS44" s="83"/>
      <c r="AT44" s="83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5161C-EFB0-4EE3-9B4D-D976296F1FC1}">
  <sheetPr codeName="Sheet2"/>
  <dimension ref="A1:H28"/>
  <sheetViews>
    <sheetView zoomScale="90" zoomScaleNormal="90" workbookViewId="0">
      <selection activeCell="C31" sqref="C31"/>
    </sheetView>
  </sheetViews>
  <sheetFormatPr defaultRowHeight="12.75" x14ac:dyDescent="0.2"/>
  <cols>
    <col min="1" max="3" width="15.7109375" style="3" customWidth="1"/>
    <col min="4" max="4" width="49.5703125" style="3" customWidth="1"/>
    <col min="5" max="6" width="15.7109375" style="3" customWidth="1"/>
  </cols>
  <sheetData>
    <row r="1" spans="1:8" s="10" customFormat="1" ht="12.75" customHeight="1" x14ac:dyDescent="0.35">
      <c r="A1" s="71"/>
      <c r="B1" s="71"/>
      <c r="C1" s="71"/>
      <c r="D1" s="71"/>
      <c r="E1" s="71"/>
      <c r="F1" s="35"/>
    </row>
    <row r="4" spans="1:8" ht="13.5" thickBot="1" x14ac:dyDescent="0.25"/>
    <row r="5" spans="1:8" s="10" customFormat="1" x14ac:dyDescent="0.2">
      <c r="A5" s="115" t="s">
        <v>704</v>
      </c>
      <c r="B5" s="116"/>
      <c r="C5" s="116"/>
      <c r="D5" s="116"/>
      <c r="E5" s="116"/>
      <c r="F5" s="116"/>
      <c r="G5" s="117"/>
      <c r="H5" s="118"/>
    </row>
    <row r="6" spans="1:8" x14ac:dyDescent="0.2">
      <c r="A6" s="89" t="s">
        <v>676</v>
      </c>
      <c r="B6" s="45" t="s">
        <v>677</v>
      </c>
      <c r="C6" s="45" t="s">
        <v>678</v>
      </c>
      <c r="D6" s="45" t="s">
        <v>706</v>
      </c>
      <c r="E6" s="45" t="s">
        <v>696</v>
      </c>
      <c r="F6" s="45" t="s">
        <v>679</v>
      </c>
      <c r="G6" s="50"/>
      <c r="H6" s="91"/>
    </row>
    <row r="7" spans="1:8" ht="13.5" thickBot="1" x14ac:dyDescent="0.25">
      <c r="A7" s="119" t="s">
        <v>104</v>
      </c>
      <c r="B7" s="102">
        <v>36.85</v>
      </c>
      <c r="C7" s="102">
        <v>0.63</v>
      </c>
      <c r="D7" s="120" t="s">
        <v>765</v>
      </c>
      <c r="E7" s="120">
        <v>11</v>
      </c>
      <c r="F7" s="121" t="s">
        <v>680</v>
      </c>
      <c r="G7" s="103"/>
      <c r="H7" s="104"/>
    </row>
    <row r="8" spans="1:8" ht="13.5" thickBot="1" x14ac:dyDescent="0.25">
      <c r="F8" s="70"/>
    </row>
    <row r="9" spans="1:8" x14ac:dyDescent="0.2">
      <c r="A9" s="115" t="s">
        <v>704</v>
      </c>
      <c r="B9" s="116"/>
      <c r="C9" s="116"/>
      <c r="D9" s="116"/>
      <c r="E9" s="116"/>
      <c r="F9" s="116"/>
      <c r="G9" s="117"/>
      <c r="H9" s="118"/>
    </row>
    <row r="10" spans="1:8" x14ac:dyDescent="0.2">
      <c r="A10" s="89" t="s">
        <v>676</v>
      </c>
      <c r="B10" s="45" t="s">
        <v>677</v>
      </c>
      <c r="C10" s="45" t="s">
        <v>678</v>
      </c>
      <c r="D10" s="45" t="s">
        <v>706</v>
      </c>
      <c r="E10" s="45" t="s">
        <v>696</v>
      </c>
      <c r="F10" s="45" t="s">
        <v>679</v>
      </c>
      <c r="G10" s="50"/>
      <c r="H10" s="91"/>
    </row>
    <row r="11" spans="1:8" ht="13.5" thickBot="1" x14ac:dyDescent="0.25">
      <c r="A11" s="119" t="s">
        <v>776</v>
      </c>
      <c r="B11" s="102">
        <v>32.67</v>
      </c>
      <c r="C11" s="102">
        <v>0.75</v>
      </c>
      <c r="D11" s="120" t="s">
        <v>777</v>
      </c>
      <c r="E11" s="120">
        <v>11</v>
      </c>
      <c r="F11" s="121" t="s">
        <v>778</v>
      </c>
      <c r="G11" s="103"/>
      <c r="H11" s="104"/>
    </row>
    <row r="12" spans="1:8" ht="13.5" thickBot="1" x14ac:dyDescent="0.25">
      <c r="F12" s="70"/>
    </row>
    <row r="13" spans="1:8" x14ac:dyDescent="0.2">
      <c r="A13" s="115" t="s">
        <v>704</v>
      </c>
      <c r="B13" s="116"/>
      <c r="C13" s="116"/>
      <c r="D13" s="116"/>
      <c r="E13" s="116"/>
      <c r="F13" s="116"/>
      <c r="G13" s="117"/>
      <c r="H13" s="118"/>
    </row>
    <row r="14" spans="1:8" x14ac:dyDescent="0.2">
      <c r="A14" s="89" t="s">
        <v>676</v>
      </c>
      <c r="B14" s="45" t="s">
        <v>677</v>
      </c>
      <c r="C14" s="45" t="s">
        <v>678</v>
      </c>
      <c r="D14" s="45" t="s">
        <v>706</v>
      </c>
      <c r="E14" s="45" t="s">
        <v>696</v>
      </c>
      <c r="F14" s="45" t="s">
        <v>679</v>
      </c>
      <c r="G14" s="50"/>
      <c r="H14" s="91"/>
    </row>
    <row r="15" spans="1:8" ht="13.5" thickBot="1" x14ac:dyDescent="0.25">
      <c r="A15" s="119" t="s">
        <v>783</v>
      </c>
      <c r="B15" s="102">
        <v>17.88</v>
      </c>
      <c r="C15" s="102">
        <v>0.75</v>
      </c>
      <c r="D15" s="120" t="s">
        <v>787</v>
      </c>
      <c r="E15" s="120">
        <v>11</v>
      </c>
      <c r="F15" s="121" t="s">
        <v>788</v>
      </c>
      <c r="G15" s="103"/>
      <c r="H15" s="104"/>
    </row>
    <row r="16" spans="1:8" ht="13.5" thickBot="1" x14ac:dyDescent="0.25">
      <c r="F16" s="70"/>
    </row>
    <row r="17" spans="1:8" x14ac:dyDescent="0.2">
      <c r="A17" s="115" t="s">
        <v>704</v>
      </c>
      <c r="B17" s="116"/>
      <c r="C17" s="116"/>
      <c r="D17" s="116"/>
      <c r="E17" s="116"/>
      <c r="F17" s="116"/>
      <c r="G17" s="117"/>
      <c r="H17" s="118"/>
    </row>
    <row r="18" spans="1:8" x14ac:dyDescent="0.2">
      <c r="A18" s="89" t="s">
        <v>676</v>
      </c>
      <c r="B18" s="45" t="s">
        <v>677</v>
      </c>
      <c r="C18" s="45" t="s">
        <v>678</v>
      </c>
      <c r="D18" s="45" t="s">
        <v>706</v>
      </c>
      <c r="E18" s="45" t="s">
        <v>696</v>
      </c>
      <c r="F18" s="45" t="s">
        <v>679</v>
      </c>
      <c r="G18" s="50"/>
      <c r="H18" s="91"/>
    </row>
    <row r="19" spans="1:8" ht="13.5" thickBot="1" x14ac:dyDescent="0.25">
      <c r="A19" s="119"/>
      <c r="B19" s="102"/>
      <c r="C19" s="102"/>
      <c r="D19" s="120"/>
      <c r="E19" s="120"/>
      <c r="F19" s="121"/>
      <c r="G19" s="103"/>
      <c r="H19" s="104"/>
    </row>
    <row r="20" spans="1:8" ht="13.5" thickBot="1" x14ac:dyDescent="0.25">
      <c r="F20" s="70"/>
    </row>
    <row r="21" spans="1:8" x14ac:dyDescent="0.2">
      <c r="A21" s="115" t="s">
        <v>704</v>
      </c>
      <c r="B21" s="116"/>
      <c r="C21" s="116"/>
      <c r="D21" s="116"/>
      <c r="E21" s="116"/>
      <c r="F21" s="116"/>
      <c r="G21" s="117"/>
      <c r="H21" s="118"/>
    </row>
    <row r="22" spans="1:8" x14ac:dyDescent="0.2">
      <c r="A22" s="89" t="s">
        <v>676</v>
      </c>
      <c r="B22" s="45" t="s">
        <v>677</v>
      </c>
      <c r="C22" s="45" t="s">
        <v>678</v>
      </c>
      <c r="D22" s="45" t="s">
        <v>706</v>
      </c>
      <c r="E22" s="45" t="s">
        <v>696</v>
      </c>
      <c r="F22" s="45" t="s">
        <v>679</v>
      </c>
      <c r="G22" s="50"/>
      <c r="H22" s="91"/>
    </row>
    <row r="23" spans="1:8" ht="13.5" thickBot="1" x14ac:dyDescent="0.25">
      <c r="A23" s="119"/>
      <c r="B23" s="102"/>
      <c r="C23" s="102"/>
      <c r="D23" s="120"/>
      <c r="E23" s="120"/>
      <c r="F23" s="121"/>
      <c r="G23" s="103"/>
      <c r="H23" s="104"/>
    </row>
    <row r="24" spans="1:8" ht="13.5" thickBot="1" x14ac:dyDescent="0.25">
      <c r="A24" s="66"/>
      <c r="B24" s="66"/>
      <c r="C24" s="66"/>
      <c r="D24" s="66"/>
      <c r="E24" s="66"/>
    </row>
    <row r="25" spans="1:8" x14ac:dyDescent="0.2">
      <c r="A25" s="115" t="s">
        <v>704</v>
      </c>
      <c r="B25" s="116"/>
      <c r="C25" s="116"/>
      <c r="D25" s="116"/>
      <c r="E25" s="116"/>
      <c r="F25" s="116"/>
      <c r="G25" s="117"/>
      <c r="H25" s="118"/>
    </row>
    <row r="26" spans="1:8" x14ac:dyDescent="0.2">
      <c r="A26" s="89" t="s">
        <v>676</v>
      </c>
      <c r="B26" s="45" t="s">
        <v>677</v>
      </c>
      <c r="C26" s="45" t="s">
        <v>678</v>
      </c>
      <c r="D26" s="45" t="s">
        <v>706</v>
      </c>
      <c r="E26" s="45" t="s">
        <v>696</v>
      </c>
      <c r="F26" s="45" t="s">
        <v>679</v>
      </c>
      <c r="G26" s="50"/>
      <c r="H26" s="91"/>
    </row>
    <row r="27" spans="1:8" ht="13.5" thickBot="1" x14ac:dyDescent="0.25">
      <c r="A27" s="119"/>
      <c r="B27" s="102"/>
      <c r="C27" s="102"/>
      <c r="D27" s="120"/>
      <c r="E27" s="120"/>
      <c r="F27" s="121"/>
      <c r="G27" s="103"/>
      <c r="H27" s="104"/>
    </row>
    <row r="28" spans="1:8" x14ac:dyDescent="0.2">
      <c r="A28" s="66"/>
      <c r="B28" s="66"/>
      <c r="C28" s="66"/>
      <c r="D28" s="66"/>
      <c r="E28" s="66"/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62D88-F63F-41D1-8E11-603135C620E3}">
  <sheetPr codeName="Sheet8"/>
  <dimension ref="A1:N275"/>
  <sheetViews>
    <sheetView zoomScale="80" zoomScaleNormal="80" workbookViewId="0">
      <pane ySplit="10" topLeftCell="A11" activePane="bottomLeft" state="frozen"/>
      <selection pane="bottomLeft" activeCell="D3" sqref="D3"/>
    </sheetView>
  </sheetViews>
  <sheetFormatPr defaultRowHeight="12.75" x14ac:dyDescent="0.2"/>
  <cols>
    <col min="1" max="1" width="24.42578125" customWidth="1"/>
    <col min="2" max="2" width="10.7109375" customWidth="1"/>
    <col min="3" max="3" width="11.85546875" customWidth="1"/>
    <col min="4" max="4" width="10.7109375" customWidth="1"/>
    <col min="5" max="5" width="27.85546875" customWidth="1"/>
    <col min="6" max="8" width="10.7109375" customWidth="1"/>
    <col min="10" max="10" width="25.28515625" customWidth="1"/>
    <col min="12" max="12" width="10.7109375" customWidth="1"/>
  </cols>
  <sheetData>
    <row r="1" spans="1:14" x14ac:dyDescent="0.2">
      <c r="A1" s="127" t="s">
        <v>109</v>
      </c>
      <c r="B1" s="128"/>
      <c r="C1" s="128"/>
      <c r="J1" s="129" t="s">
        <v>113</v>
      </c>
      <c r="K1" s="130" t="s">
        <v>92</v>
      </c>
      <c r="L1" s="130" t="s">
        <v>93</v>
      </c>
      <c r="M1" s="130" t="s">
        <v>94</v>
      </c>
    </row>
    <row r="2" spans="1:14" x14ac:dyDescent="0.2">
      <c r="A2" s="127" t="s">
        <v>110</v>
      </c>
      <c r="B2" s="128"/>
      <c r="C2" s="128"/>
      <c r="J2" s="131" t="s">
        <v>91</v>
      </c>
      <c r="K2" s="132">
        <v>10</v>
      </c>
      <c r="L2" s="132">
        <v>15</v>
      </c>
      <c r="M2" s="132">
        <v>25</v>
      </c>
    </row>
    <row r="3" spans="1:14" x14ac:dyDescent="0.2">
      <c r="A3" s="127" t="s">
        <v>111</v>
      </c>
      <c r="B3" s="128"/>
      <c r="C3" s="128"/>
      <c r="J3" s="131" t="s">
        <v>95</v>
      </c>
      <c r="K3" s="132">
        <v>2</v>
      </c>
      <c r="L3" s="132">
        <v>3</v>
      </c>
      <c r="M3" s="132">
        <v>5</v>
      </c>
    </row>
    <row r="4" spans="1:14" x14ac:dyDescent="0.2">
      <c r="A4" s="127" t="s">
        <v>722</v>
      </c>
      <c r="B4" s="128"/>
      <c r="C4" s="128"/>
      <c r="J4" s="131" t="s">
        <v>96</v>
      </c>
      <c r="K4" s="132">
        <v>4</v>
      </c>
      <c r="L4" s="132">
        <v>8</v>
      </c>
      <c r="M4" s="132">
        <v>15</v>
      </c>
    </row>
    <row r="5" spans="1:14" x14ac:dyDescent="0.2">
      <c r="A5" s="127"/>
      <c r="B5" s="128"/>
      <c r="C5" s="128"/>
      <c r="J5" s="131" t="s">
        <v>100</v>
      </c>
      <c r="K5" s="132">
        <v>1</v>
      </c>
      <c r="L5" s="132">
        <v>1</v>
      </c>
      <c r="M5" s="132">
        <v>2</v>
      </c>
    </row>
    <row r="6" spans="1:14" x14ac:dyDescent="0.2">
      <c r="A6" s="127" t="s">
        <v>112</v>
      </c>
      <c r="B6" s="128"/>
      <c r="C6" s="128"/>
      <c r="J6" s="131" t="s">
        <v>97</v>
      </c>
      <c r="K6" s="132">
        <v>2</v>
      </c>
      <c r="L6" s="132">
        <v>4</v>
      </c>
      <c r="M6" s="132">
        <v>10</v>
      </c>
    </row>
    <row r="7" spans="1:14" x14ac:dyDescent="0.2">
      <c r="A7" s="127" t="s">
        <v>653</v>
      </c>
      <c r="B7" s="128"/>
      <c r="C7" s="128"/>
      <c r="J7" s="131" t="s">
        <v>98</v>
      </c>
      <c r="K7" s="132">
        <v>0</v>
      </c>
      <c r="L7" s="132">
        <v>5</v>
      </c>
      <c r="M7" s="132">
        <v>1</v>
      </c>
    </row>
    <row r="8" spans="1:14" x14ac:dyDescent="0.2">
      <c r="J8" s="131" t="s">
        <v>99</v>
      </c>
      <c r="K8" s="132">
        <v>1</v>
      </c>
      <c r="L8" s="132">
        <v>2</v>
      </c>
      <c r="M8" s="132">
        <v>3</v>
      </c>
    </row>
    <row r="9" spans="1:14" x14ac:dyDescent="0.2">
      <c r="J9" s="133" t="s">
        <v>102</v>
      </c>
      <c r="K9" s="133"/>
      <c r="L9" s="133"/>
      <c r="M9" s="133"/>
    </row>
    <row r="10" spans="1:14" s="156" customFormat="1" x14ac:dyDescent="0.2"/>
    <row r="12" spans="1:14" ht="13.5" thickBot="1" x14ac:dyDescent="0.25">
      <c r="I12" s="14"/>
      <c r="J12" s="14"/>
      <c r="K12" s="14"/>
      <c r="L12" s="14"/>
      <c r="M12" s="14"/>
      <c r="N12" s="14"/>
    </row>
    <row r="13" spans="1:14" x14ac:dyDescent="0.2">
      <c r="A13" s="85" t="s">
        <v>681</v>
      </c>
      <c r="B13" s="87"/>
      <c r="C13" s="87"/>
      <c r="D13" s="87"/>
      <c r="E13" s="87"/>
      <c r="F13" s="87"/>
      <c r="G13" s="88"/>
      <c r="I13" s="14"/>
      <c r="J13" s="14"/>
      <c r="K13" s="14"/>
      <c r="L13" s="14"/>
      <c r="M13" s="14"/>
      <c r="N13" s="14"/>
    </row>
    <row r="14" spans="1:14" x14ac:dyDescent="0.2">
      <c r="A14" s="89" t="s">
        <v>682</v>
      </c>
      <c r="B14" s="45"/>
      <c r="C14" s="45" t="s">
        <v>683</v>
      </c>
      <c r="D14" s="50"/>
      <c r="E14" s="50"/>
      <c r="F14" s="50"/>
      <c r="G14" s="91"/>
      <c r="I14" s="14"/>
      <c r="J14" s="14"/>
      <c r="K14" s="14"/>
      <c r="L14" s="14"/>
      <c r="M14" s="14"/>
      <c r="N14" s="14"/>
    </row>
    <row r="15" spans="1:14" x14ac:dyDescent="0.2">
      <c r="A15" s="92" t="s">
        <v>797</v>
      </c>
      <c r="B15" s="50"/>
      <c r="C15" s="93"/>
      <c r="D15" s="50"/>
      <c r="E15" s="50"/>
      <c r="F15" s="50"/>
      <c r="G15" s="91"/>
      <c r="I15" s="14"/>
      <c r="J15" s="14"/>
      <c r="K15" s="14"/>
      <c r="L15" s="14"/>
      <c r="M15" s="14"/>
      <c r="N15" s="14"/>
    </row>
    <row r="16" spans="1:14" x14ac:dyDescent="0.2">
      <c r="A16" s="89" t="s">
        <v>675</v>
      </c>
      <c r="B16" s="45" t="s">
        <v>684</v>
      </c>
      <c r="C16" s="45" t="s">
        <v>685</v>
      </c>
      <c r="D16" s="45" t="s">
        <v>643</v>
      </c>
      <c r="E16" s="45" t="s">
        <v>686</v>
      </c>
      <c r="F16" s="13"/>
      <c r="G16" s="146"/>
      <c r="I16" s="14"/>
      <c r="J16" s="14"/>
      <c r="K16" s="14"/>
      <c r="L16" s="14"/>
      <c r="M16" s="14"/>
      <c r="N16" s="14"/>
    </row>
    <row r="17" spans="1:14" x14ac:dyDescent="0.2">
      <c r="A17" s="99">
        <v>3</v>
      </c>
      <c r="B17" s="90">
        <v>1</v>
      </c>
      <c r="C17" s="90">
        <v>2005</v>
      </c>
      <c r="D17" s="90">
        <v>175</v>
      </c>
      <c r="E17" s="90">
        <v>30</v>
      </c>
      <c r="F17" s="15"/>
      <c r="G17" s="147"/>
      <c r="I17" s="14"/>
      <c r="J17" s="14"/>
      <c r="K17" s="157"/>
      <c r="L17" s="157"/>
      <c r="M17" s="157"/>
      <c r="N17" s="14"/>
    </row>
    <row r="18" spans="1:14" x14ac:dyDescent="0.2">
      <c r="A18" s="105"/>
      <c r="B18" s="50"/>
      <c r="C18" s="50"/>
      <c r="D18" s="50"/>
      <c r="E18" s="50"/>
      <c r="F18" s="50"/>
      <c r="G18" s="91"/>
      <c r="I18" s="14"/>
      <c r="J18" s="14"/>
      <c r="K18" s="157"/>
      <c r="L18" s="157"/>
      <c r="M18" s="157"/>
      <c r="N18" s="14"/>
    </row>
    <row r="19" spans="1:14" x14ac:dyDescent="0.2">
      <c r="A19" s="106" t="s">
        <v>105</v>
      </c>
      <c r="B19" s="15">
        <v>0</v>
      </c>
      <c r="C19" s="6"/>
      <c r="D19" s="14"/>
      <c r="E19" s="142" t="s">
        <v>714</v>
      </c>
      <c r="F19" s="90">
        <v>2</v>
      </c>
      <c r="G19" s="144" t="s">
        <v>687</v>
      </c>
      <c r="J19" s="6" t="s">
        <v>804</v>
      </c>
      <c r="K19" s="8">
        <f>300*0.21</f>
        <v>63</v>
      </c>
      <c r="L19" s="8"/>
      <c r="M19" s="8"/>
      <c r="N19" s="14"/>
    </row>
    <row r="20" spans="1:14" x14ac:dyDescent="0.2">
      <c r="A20" s="107" t="s">
        <v>85</v>
      </c>
      <c r="B20" s="15">
        <v>2</v>
      </c>
      <c r="C20" s="14"/>
      <c r="D20" s="14"/>
      <c r="E20" s="148" t="s">
        <v>721</v>
      </c>
      <c r="F20" s="90">
        <v>0</v>
      </c>
      <c r="G20" s="95">
        <v>0.5</v>
      </c>
      <c r="I20" s="14"/>
      <c r="J20" s="6" t="s">
        <v>805</v>
      </c>
      <c r="K20" s="8">
        <f>200*0.46</f>
        <v>92</v>
      </c>
      <c r="L20" s="8"/>
      <c r="M20" s="8"/>
      <c r="N20" s="14"/>
    </row>
    <row r="21" spans="1:14" x14ac:dyDescent="0.2">
      <c r="A21" s="107" t="s">
        <v>660</v>
      </c>
      <c r="B21" s="15">
        <v>2</v>
      </c>
      <c r="C21" s="14"/>
      <c r="D21" s="14"/>
      <c r="E21" s="148" t="s">
        <v>715</v>
      </c>
      <c r="F21" s="90">
        <v>0</v>
      </c>
      <c r="G21" s="149"/>
      <c r="I21" s="14"/>
      <c r="J21" s="6" t="s">
        <v>806</v>
      </c>
      <c r="K21" s="8">
        <v>46</v>
      </c>
      <c r="L21" s="8"/>
      <c r="M21" s="8"/>
      <c r="N21" s="14"/>
    </row>
    <row r="22" spans="1:14" x14ac:dyDescent="0.2">
      <c r="A22" s="108"/>
      <c r="B22" s="109" t="s">
        <v>674</v>
      </c>
      <c r="C22" s="109" t="s">
        <v>58</v>
      </c>
      <c r="D22" s="109" t="s">
        <v>101</v>
      </c>
      <c r="E22" s="143" t="s">
        <v>716</v>
      </c>
      <c r="F22" s="143" t="s">
        <v>717</v>
      </c>
      <c r="G22" s="145"/>
      <c r="I22" s="14"/>
      <c r="J22" s="6" t="s">
        <v>806</v>
      </c>
      <c r="K22" s="15">
        <v>46</v>
      </c>
      <c r="L22" s="15"/>
      <c r="M22" s="15"/>
      <c r="N22" s="14"/>
    </row>
    <row r="23" spans="1:14" x14ac:dyDescent="0.2">
      <c r="A23" s="108" t="s">
        <v>720</v>
      </c>
      <c r="B23" s="110" t="s">
        <v>73</v>
      </c>
      <c r="C23" s="110" t="s">
        <v>114</v>
      </c>
      <c r="D23" s="110" t="s">
        <v>64</v>
      </c>
      <c r="E23" s="143" t="s">
        <v>719</v>
      </c>
      <c r="F23" s="143" t="s">
        <v>718</v>
      </c>
      <c r="G23" s="145"/>
      <c r="I23" s="14"/>
      <c r="J23" s="14"/>
      <c r="K23" s="13"/>
      <c r="L23" s="14"/>
      <c r="M23" s="14"/>
      <c r="N23" s="14"/>
    </row>
    <row r="24" spans="1:14" ht="18" x14ac:dyDescent="0.25">
      <c r="A24" s="111">
        <v>1</v>
      </c>
      <c r="B24" s="8">
        <v>1</v>
      </c>
      <c r="C24" s="8">
        <v>2.2999999999999998</v>
      </c>
      <c r="D24" s="8">
        <v>2</v>
      </c>
      <c r="E24" s="73"/>
      <c r="F24" s="90"/>
      <c r="G24" s="91"/>
      <c r="I24" s="14"/>
      <c r="J24" s="38"/>
      <c r="K24" s="14"/>
      <c r="L24" s="14"/>
      <c r="M24" s="14"/>
      <c r="N24" s="14"/>
    </row>
    <row r="25" spans="1:14" x14ac:dyDescent="0.2">
      <c r="A25" s="111">
        <v>2</v>
      </c>
      <c r="B25" s="8">
        <v>10</v>
      </c>
      <c r="C25" s="8">
        <v>3.45</v>
      </c>
      <c r="D25" s="8">
        <v>10</v>
      </c>
      <c r="E25" s="90"/>
      <c r="F25" s="90"/>
      <c r="G25" s="91"/>
      <c r="I25" s="14"/>
      <c r="J25" s="11"/>
      <c r="K25" s="157"/>
      <c r="L25" s="157"/>
      <c r="M25" s="157"/>
      <c r="N25" s="14"/>
    </row>
    <row r="26" spans="1:14" x14ac:dyDescent="0.2">
      <c r="A26" s="111">
        <v>3</v>
      </c>
      <c r="B26" s="8"/>
      <c r="C26" s="8"/>
      <c r="D26" s="8"/>
      <c r="E26" s="90"/>
      <c r="F26" s="90"/>
      <c r="G26" s="91"/>
      <c r="I26" s="14"/>
      <c r="J26" s="11"/>
      <c r="K26" s="157"/>
      <c r="L26" s="157"/>
      <c r="M26" s="157"/>
      <c r="N26" s="14"/>
    </row>
    <row r="27" spans="1:14" x14ac:dyDescent="0.2">
      <c r="A27" s="100">
        <v>4</v>
      </c>
      <c r="B27" s="15"/>
      <c r="C27" s="15"/>
      <c r="D27" s="15"/>
      <c r="E27" s="90"/>
      <c r="F27" s="90"/>
      <c r="G27" s="91"/>
      <c r="I27" s="14"/>
      <c r="J27" s="11"/>
      <c r="K27" s="8"/>
      <c r="L27" s="8"/>
      <c r="M27" s="8"/>
      <c r="N27" s="14"/>
    </row>
    <row r="28" spans="1:14" x14ac:dyDescent="0.2">
      <c r="A28" s="100">
        <v>5</v>
      </c>
      <c r="B28" s="15"/>
      <c r="C28" s="15"/>
      <c r="D28" s="15"/>
      <c r="E28" s="90"/>
      <c r="F28" s="90"/>
      <c r="G28" s="91"/>
      <c r="I28" s="14"/>
      <c r="J28" s="11"/>
      <c r="K28" s="8"/>
      <c r="L28" s="8"/>
      <c r="M28" s="8"/>
      <c r="N28" s="14"/>
    </row>
    <row r="29" spans="1:14" x14ac:dyDescent="0.2">
      <c r="A29" s="100">
        <v>6</v>
      </c>
      <c r="B29" s="15"/>
      <c r="C29" s="15"/>
      <c r="D29" s="15"/>
      <c r="E29" s="90"/>
      <c r="F29" s="90"/>
      <c r="G29" s="91"/>
      <c r="I29" s="14"/>
      <c r="J29" s="11"/>
      <c r="K29" s="8"/>
      <c r="L29" s="8"/>
      <c r="M29" s="8"/>
      <c r="N29" s="14"/>
    </row>
    <row r="30" spans="1:14" x14ac:dyDescent="0.2">
      <c r="A30" s="100">
        <v>7</v>
      </c>
      <c r="B30" s="15"/>
      <c r="C30" s="15"/>
      <c r="D30" s="15"/>
      <c r="E30" s="90"/>
      <c r="F30" s="90"/>
      <c r="G30" s="91"/>
      <c r="I30" s="14"/>
      <c r="J30" s="11"/>
      <c r="K30" s="15"/>
      <c r="L30" s="15"/>
      <c r="M30" s="15"/>
      <c r="N30" s="14"/>
    </row>
    <row r="31" spans="1:14" x14ac:dyDescent="0.2">
      <c r="A31" s="100">
        <v>8</v>
      </c>
      <c r="B31" s="15"/>
      <c r="C31" s="15"/>
      <c r="D31" s="15"/>
      <c r="E31" s="90"/>
      <c r="F31" s="90"/>
      <c r="G31" s="91"/>
      <c r="I31" s="14"/>
      <c r="J31" s="11"/>
      <c r="K31" s="13"/>
      <c r="L31" s="14"/>
      <c r="M31" s="15"/>
      <c r="N31" s="14"/>
    </row>
    <row r="32" spans="1:14" x14ac:dyDescent="0.2">
      <c r="A32" s="100">
        <v>9</v>
      </c>
      <c r="B32" s="15"/>
      <c r="C32" s="15"/>
      <c r="D32" s="15"/>
      <c r="E32" s="90"/>
      <c r="F32" s="90"/>
      <c r="G32" s="91"/>
      <c r="I32" s="14"/>
      <c r="J32" s="11"/>
      <c r="K32" s="14"/>
      <c r="L32" s="14"/>
      <c r="M32" s="14"/>
      <c r="N32" s="14"/>
    </row>
    <row r="33" spans="1:14" ht="13.5" thickBot="1" x14ac:dyDescent="0.25">
      <c r="A33" s="112">
        <v>10</v>
      </c>
      <c r="B33" s="113"/>
      <c r="C33" s="113"/>
      <c r="D33" s="114"/>
      <c r="E33" s="102"/>
      <c r="F33" s="102"/>
      <c r="G33" s="104"/>
      <c r="I33" s="14"/>
      <c r="J33" s="11"/>
      <c r="K33" s="157"/>
      <c r="L33" s="157"/>
      <c r="M33" s="157"/>
      <c r="N33" s="14"/>
    </row>
    <row r="34" spans="1:14" x14ac:dyDescent="0.2">
      <c r="I34" s="14"/>
      <c r="J34" s="11"/>
      <c r="K34" s="157"/>
      <c r="L34" s="157"/>
      <c r="M34" s="157"/>
      <c r="N34" s="14"/>
    </row>
    <row r="35" spans="1:14" ht="13.5" thickBot="1" x14ac:dyDescent="0.25">
      <c r="I35" s="14"/>
      <c r="J35" s="11"/>
      <c r="K35" s="8"/>
      <c r="L35" s="8"/>
      <c r="M35" s="8"/>
      <c r="N35" s="14"/>
    </row>
    <row r="36" spans="1:14" x14ac:dyDescent="0.2">
      <c r="A36" s="85" t="s">
        <v>681</v>
      </c>
      <c r="B36" s="87"/>
      <c r="C36" s="87"/>
      <c r="D36" s="87"/>
      <c r="E36" s="87"/>
      <c r="F36" s="87"/>
      <c r="G36" s="88"/>
      <c r="I36" s="14"/>
      <c r="J36" s="11"/>
      <c r="K36" s="8"/>
      <c r="L36" s="8"/>
      <c r="M36" s="8"/>
      <c r="N36" s="14"/>
    </row>
    <row r="37" spans="1:14" x14ac:dyDescent="0.2">
      <c r="A37" s="89" t="s">
        <v>682</v>
      </c>
      <c r="B37" s="45"/>
      <c r="C37" s="45" t="s">
        <v>683</v>
      </c>
      <c r="D37" s="50"/>
      <c r="E37" s="50"/>
      <c r="F37" s="50"/>
      <c r="G37" s="91"/>
      <c r="I37" s="14"/>
      <c r="J37" s="11"/>
      <c r="K37" s="8"/>
      <c r="L37" s="8"/>
      <c r="M37" s="8"/>
      <c r="N37" s="14"/>
    </row>
    <row r="38" spans="1:14" x14ac:dyDescent="0.2">
      <c r="A38" s="92" t="s">
        <v>799</v>
      </c>
      <c r="B38" s="50"/>
      <c r="C38" s="93"/>
      <c r="D38" s="50"/>
      <c r="E38" s="50"/>
      <c r="F38" s="50"/>
      <c r="G38" s="91"/>
      <c r="I38" s="14"/>
      <c r="J38" s="14"/>
      <c r="K38" s="14"/>
      <c r="L38" s="14"/>
      <c r="M38" s="14"/>
      <c r="N38" s="14"/>
    </row>
    <row r="39" spans="1:14" x14ac:dyDescent="0.2">
      <c r="A39" s="89" t="s">
        <v>675</v>
      </c>
      <c r="B39" s="45" t="s">
        <v>684</v>
      </c>
      <c r="C39" s="45" t="s">
        <v>685</v>
      </c>
      <c r="D39" s="45" t="s">
        <v>643</v>
      </c>
      <c r="E39" s="45" t="s">
        <v>686</v>
      </c>
      <c r="F39" s="13"/>
      <c r="G39" s="146"/>
      <c r="I39" s="14"/>
      <c r="J39" s="14"/>
      <c r="K39" s="14"/>
      <c r="L39" s="14"/>
      <c r="M39" s="14"/>
      <c r="N39" s="14"/>
    </row>
    <row r="40" spans="1:14" x14ac:dyDescent="0.2">
      <c r="A40" s="99">
        <v>3</v>
      </c>
      <c r="B40" s="90">
        <v>1</v>
      </c>
      <c r="C40" s="90">
        <v>2005</v>
      </c>
      <c r="D40" s="90">
        <v>175</v>
      </c>
      <c r="E40" s="90">
        <v>30</v>
      </c>
      <c r="F40" s="15"/>
      <c r="G40" s="147"/>
      <c r="I40" s="14"/>
      <c r="J40" s="14"/>
      <c r="K40" s="14"/>
      <c r="L40" s="14"/>
      <c r="M40" s="14"/>
      <c r="N40" s="14"/>
    </row>
    <row r="41" spans="1:14" x14ac:dyDescent="0.2">
      <c r="A41" s="105"/>
      <c r="B41" s="50"/>
      <c r="C41" s="50"/>
      <c r="D41" s="50"/>
      <c r="E41" s="50"/>
      <c r="F41" s="50"/>
      <c r="G41" s="91"/>
      <c r="I41" s="14"/>
      <c r="J41" s="14"/>
      <c r="K41" s="14"/>
      <c r="L41" s="14"/>
      <c r="M41" s="14"/>
      <c r="N41" s="14"/>
    </row>
    <row r="42" spans="1:14" x14ac:dyDescent="0.2">
      <c r="A42" s="106" t="s">
        <v>105</v>
      </c>
      <c r="B42" s="15">
        <v>2</v>
      </c>
      <c r="C42" s="6"/>
      <c r="D42" s="14"/>
      <c r="E42" s="142" t="s">
        <v>714</v>
      </c>
      <c r="F42" s="90">
        <v>1</v>
      </c>
      <c r="G42" s="144" t="s">
        <v>687</v>
      </c>
      <c r="I42" s="14"/>
      <c r="J42" s="14"/>
      <c r="K42" s="14"/>
      <c r="L42" s="14"/>
      <c r="M42" s="14"/>
      <c r="N42" s="14"/>
    </row>
    <row r="43" spans="1:14" x14ac:dyDescent="0.2">
      <c r="A43" s="107" t="s">
        <v>85</v>
      </c>
      <c r="B43" s="15">
        <v>5</v>
      </c>
      <c r="C43" s="14"/>
      <c r="D43" s="14"/>
      <c r="E43" s="148" t="s">
        <v>721</v>
      </c>
      <c r="F43" s="90">
        <v>1</v>
      </c>
      <c r="G43" s="95">
        <v>0.5</v>
      </c>
      <c r="I43" s="14"/>
      <c r="J43" s="14"/>
      <c r="K43" s="14"/>
      <c r="L43" s="14"/>
      <c r="M43" s="14"/>
      <c r="N43" s="14"/>
    </row>
    <row r="44" spans="1:14" x14ac:dyDescent="0.2">
      <c r="A44" s="107" t="s">
        <v>660</v>
      </c>
      <c r="B44" s="15">
        <v>2</v>
      </c>
      <c r="C44" s="14"/>
      <c r="D44" s="14"/>
      <c r="E44" s="148" t="s">
        <v>715</v>
      </c>
      <c r="F44" s="90">
        <v>2</v>
      </c>
      <c r="G44" s="149"/>
      <c r="I44" s="14"/>
      <c r="J44" s="14"/>
      <c r="K44" s="14"/>
      <c r="L44" s="14"/>
      <c r="M44" s="14"/>
      <c r="N44" s="14"/>
    </row>
    <row r="45" spans="1:14" x14ac:dyDescent="0.2">
      <c r="A45" s="108"/>
      <c r="B45" s="109" t="s">
        <v>674</v>
      </c>
      <c r="C45" s="109" t="s">
        <v>58</v>
      </c>
      <c r="D45" s="109" t="s">
        <v>101</v>
      </c>
      <c r="E45" s="143" t="s">
        <v>716</v>
      </c>
      <c r="F45" s="143" t="s">
        <v>717</v>
      </c>
      <c r="G45" s="145"/>
      <c r="I45" s="14"/>
      <c r="J45" s="14"/>
      <c r="K45" s="14"/>
      <c r="L45" s="14"/>
      <c r="M45" s="14"/>
      <c r="N45" s="14"/>
    </row>
    <row r="46" spans="1:14" x14ac:dyDescent="0.2">
      <c r="A46" s="108" t="s">
        <v>720</v>
      </c>
      <c r="B46" s="110" t="s">
        <v>73</v>
      </c>
      <c r="C46" s="110" t="s">
        <v>114</v>
      </c>
      <c r="D46" s="110" t="s">
        <v>64</v>
      </c>
      <c r="E46" s="143" t="s">
        <v>719</v>
      </c>
      <c r="F46" s="143" t="s">
        <v>718</v>
      </c>
      <c r="G46" s="145"/>
      <c r="I46" s="14"/>
      <c r="J46" s="14"/>
      <c r="K46" s="14"/>
      <c r="L46" s="14"/>
      <c r="M46" s="14"/>
      <c r="N46" s="14"/>
    </row>
    <row r="47" spans="1:14" x14ac:dyDescent="0.2">
      <c r="A47" s="111">
        <v>1</v>
      </c>
      <c r="B47" s="8">
        <v>1</v>
      </c>
      <c r="C47" s="8">
        <v>1.1000000000000001</v>
      </c>
      <c r="D47" s="8">
        <v>3</v>
      </c>
      <c r="E47" s="73">
        <v>39</v>
      </c>
      <c r="F47" s="90">
        <v>60</v>
      </c>
      <c r="G47" s="91"/>
      <c r="I47" s="14"/>
      <c r="J47" s="14"/>
      <c r="K47" s="14"/>
      <c r="L47" s="14"/>
      <c r="M47" s="14"/>
      <c r="N47" s="14"/>
    </row>
    <row r="48" spans="1:14" x14ac:dyDescent="0.2">
      <c r="A48" s="111">
        <v>2</v>
      </c>
      <c r="B48" s="8">
        <v>25</v>
      </c>
      <c r="C48" s="8">
        <v>4.5999999999999996</v>
      </c>
      <c r="D48" s="8">
        <v>10</v>
      </c>
      <c r="E48" s="90"/>
      <c r="F48" s="90"/>
      <c r="G48" s="91"/>
      <c r="I48" s="14"/>
      <c r="J48" s="14"/>
      <c r="K48" s="14"/>
      <c r="L48" s="14"/>
      <c r="M48" s="14"/>
      <c r="N48" s="14"/>
    </row>
    <row r="49" spans="1:14" x14ac:dyDescent="0.2">
      <c r="A49" s="111">
        <v>3</v>
      </c>
      <c r="B49" s="8">
        <v>35</v>
      </c>
      <c r="C49" s="8">
        <v>4.5999999999999996</v>
      </c>
      <c r="D49" s="8">
        <v>10</v>
      </c>
      <c r="E49" s="90"/>
      <c r="F49" s="90"/>
      <c r="G49" s="91"/>
      <c r="I49" s="14"/>
      <c r="J49" s="14"/>
      <c r="K49" s="14"/>
      <c r="L49" s="14"/>
      <c r="M49" s="14"/>
      <c r="N49" s="14"/>
    </row>
    <row r="50" spans="1:14" x14ac:dyDescent="0.2">
      <c r="A50" s="100">
        <v>4</v>
      </c>
      <c r="B50" s="15">
        <v>45</v>
      </c>
      <c r="C50" s="8">
        <v>4.5999999999999996</v>
      </c>
      <c r="D50" s="8">
        <v>10</v>
      </c>
      <c r="E50" s="90"/>
      <c r="F50" s="90"/>
      <c r="G50" s="91"/>
      <c r="I50" s="14"/>
      <c r="J50" s="14"/>
      <c r="K50" s="14"/>
      <c r="L50" s="14"/>
      <c r="M50" s="14"/>
      <c r="N50" s="14"/>
    </row>
    <row r="51" spans="1:14" x14ac:dyDescent="0.2">
      <c r="A51" s="100">
        <v>5</v>
      </c>
      <c r="B51" s="15">
        <v>55</v>
      </c>
      <c r="C51" s="15">
        <v>4.5999999999999996</v>
      </c>
      <c r="D51" s="15">
        <v>10</v>
      </c>
      <c r="E51" s="90"/>
      <c r="F51" s="90"/>
      <c r="G51" s="91"/>
      <c r="I51" s="14"/>
      <c r="J51" s="14"/>
      <c r="K51" s="14"/>
      <c r="L51" s="14"/>
      <c r="M51" s="14"/>
      <c r="N51" s="14"/>
    </row>
    <row r="52" spans="1:14" x14ac:dyDescent="0.2">
      <c r="A52" s="100">
        <v>6</v>
      </c>
      <c r="B52" s="15"/>
      <c r="C52" s="15"/>
      <c r="D52" s="15"/>
      <c r="E52" s="90"/>
      <c r="F52" s="90"/>
      <c r="G52" s="91"/>
      <c r="I52" s="14"/>
      <c r="J52" s="14"/>
      <c r="K52" s="14"/>
      <c r="L52" s="14"/>
      <c r="M52" s="14"/>
      <c r="N52" s="14"/>
    </row>
    <row r="53" spans="1:14" x14ac:dyDescent="0.2">
      <c r="A53" s="100">
        <v>7</v>
      </c>
      <c r="B53" s="15"/>
      <c r="C53" s="15"/>
      <c r="D53" s="15"/>
      <c r="E53" s="90"/>
      <c r="F53" s="90"/>
      <c r="G53" s="91"/>
      <c r="I53" s="14"/>
      <c r="J53" s="14"/>
      <c r="K53" s="14"/>
      <c r="L53" s="14"/>
      <c r="M53" s="14"/>
      <c r="N53" s="14"/>
    </row>
    <row r="54" spans="1:14" x14ac:dyDescent="0.2">
      <c r="A54" s="100">
        <v>8</v>
      </c>
      <c r="B54" s="15"/>
      <c r="C54" s="15"/>
      <c r="D54" s="15"/>
      <c r="E54" s="90"/>
      <c r="F54" s="90"/>
      <c r="G54" s="91"/>
      <c r="I54" s="14"/>
      <c r="J54" s="14"/>
      <c r="K54" s="14"/>
      <c r="L54" s="14"/>
      <c r="M54" s="14"/>
      <c r="N54" s="14"/>
    </row>
    <row r="55" spans="1:14" x14ac:dyDescent="0.2">
      <c r="A55" s="100">
        <v>9</v>
      </c>
      <c r="B55" s="15"/>
      <c r="C55" s="15"/>
      <c r="D55" s="15"/>
      <c r="E55" s="90"/>
      <c r="F55" s="90"/>
      <c r="G55" s="91"/>
      <c r="I55" s="14"/>
      <c r="J55" s="14"/>
      <c r="K55" s="14"/>
      <c r="L55" s="14"/>
      <c r="M55" s="14"/>
      <c r="N55" s="14"/>
    </row>
    <row r="56" spans="1:14" ht="13.5" thickBot="1" x14ac:dyDescent="0.25">
      <c r="A56" s="112">
        <v>10</v>
      </c>
      <c r="B56" s="113"/>
      <c r="C56" s="113"/>
      <c r="D56" s="114"/>
      <c r="E56" s="102"/>
      <c r="F56" s="102"/>
      <c r="G56" s="104"/>
      <c r="I56" s="14"/>
      <c r="J56" s="14"/>
      <c r="K56" s="14"/>
      <c r="L56" s="14"/>
      <c r="M56" s="14"/>
      <c r="N56" s="14"/>
    </row>
    <row r="57" spans="1:14" x14ac:dyDescent="0.2">
      <c r="I57" s="14"/>
      <c r="J57" s="14"/>
      <c r="K57" s="14"/>
      <c r="L57" s="14"/>
      <c r="M57" s="14"/>
      <c r="N57" s="14"/>
    </row>
    <row r="58" spans="1:14" ht="13.5" thickBot="1" x14ac:dyDescent="0.25">
      <c r="A58" s="14"/>
      <c r="B58" s="14"/>
      <c r="C58" s="14"/>
      <c r="D58" s="14"/>
      <c r="E58" s="14"/>
      <c r="F58" s="14"/>
      <c r="G58" s="14"/>
      <c r="H58" s="14"/>
      <c r="I58" s="14"/>
    </row>
    <row r="59" spans="1:14" x14ac:dyDescent="0.2">
      <c r="A59" s="85" t="s">
        <v>681</v>
      </c>
      <c r="B59" s="87"/>
      <c r="C59" s="87"/>
      <c r="D59" s="87"/>
      <c r="E59" s="87"/>
      <c r="F59" s="87"/>
      <c r="G59" s="88"/>
      <c r="H59" s="14"/>
      <c r="I59" s="14"/>
    </row>
    <row r="60" spans="1:14" x14ac:dyDescent="0.2">
      <c r="A60" s="89" t="s">
        <v>682</v>
      </c>
      <c r="B60" s="45"/>
      <c r="C60" s="45" t="s">
        <v>683</v>
      </c>
      <c r="D60" s="50"/>
      <c r="E60" s="50"/>
      <c r="F60" s="50"/>
      <c r="G60" s="91"/>
      <c r="H60" s="14"/>
      <c r="I60" s="14"/>
    </row>
    <row r="61" spans="1:14" x14ac:dyDescent="0.2">
      <c r="A61" s="92" t="s">
        <v>801</v>
      </c>
      <c r="B61" s="50"/>
      <c r="C61" s="93"/>
      <c r="D61" s="50"/>
      <c r="E61" s="50"/>
      <c r="F61" s="50"/>
      <c r="G61" s="91"/>
      <c r="H61" s="14"/>
      <c r="I61" s="14"/>
    </row>
    <row r="62" spans="1:14" x14ac:dyDescent="0.2">
      <c r="A62" s="89" t="s">
        <v>675</v>
      </c>
      <c r="B62" s="45" t="s">
        <v>684</v>
      </c>
      <c r="C62" s="45" t="s">
        <v>685</v>
      </c>
      <c r="D62" s="45" t="s">
        <v>643</v>
      </c>
      <c r="E62" s="45" t="s">
        <v>686</v>
      </c>
      <c r="F62" s="13"/>
      <c r="G62" s="146"/>
      <c r="H62" s="14"/>
      <c r="I62" s="14"/>
    </row>
    <row r="63" spans="1:14" x14ac:dyDescent="0.2">
      <c r="A63" s="99">
        <v>3</v>
      </c>
      <c r="B63" s="90">
        <v>1</v>
      </c>
      <c r="C63" s="90">
        <v>1992</v>
      </c>
      <c r="D63" s="90">
        <v>130</v>
      </c>
      <c r="E63" s="90">
        <v>40</v>
      </c>
      <c r="F63" s="15"/>
      <c r="G63" s="147"/>
      <c r="H63" s="14"/>
      <c r="I63" s="14"/>
    </row>
    <row r="64" spans="1:14" x14ac:dyDescent="0.2">
      <c r="A64" s="105"/>
      <c r="B64" s="50"/>
      <c r="C64" s="50"/>
      <c r="D64" s="50"/>
      <c r="E64" s="50"/>
      <c r="F64" s="50"/>
      <c r="G64" s="91"/>
      <c r="H64" s="14"/>
      <c r="I64" s="14"/>
    </row>
    <row r="65" spans="1:9" x14ac:dyDescent="0.2">
      <c r="A65" s="106" t="s">
        <v>105</v>
      </c>
      <c r="B65" s="15">
        <v>2</v>
      </c>
      <c r="C65" s="6"/>
      <c r="D65" s="14"/>
      <c r="E65" s="142" t="s">
        <v>714</v>
      </c>
      <c r="F65" s="90">
        <v>1</v>
      </c>
      <c r="G65" s="144" t="s">
        <v>687</v>
      </c>
      <c r="H65" s="14"/>
      <c r="I65" s="14"/>
    </row>
    <row r="66" spans="1:9" x14ac:dyDescent="0.2">
      <c r="A66" s="107" t="s">
        <v>85</v>
      </c>
      <c r="B66" s="15">
        <v>5</v>
      </c>
      <c r="C66" s="14"/>
      <c r="D66" s="14"/>
      <c r="E66" s="148" t="s">
        <v>721</v>
      </c>
      <c r="F66" s="90">
        <v>1</v>
      </c>
      <c r="G66" s="95">
        <v>0.5</v>
      </c>
      <c r="H66" s="14"/>
      <c r="I66" s="14"/>
    </row>
    <row r="67" spans="1:9" x14ac:dyDescent="0.2">
      <c r="A67" s="107" t="s">
        <v>660</v>
      </c>
      <c r="B67" s="15">
        <v>2</v>
      </c>
      <c r="C67" s="14"/>
      <c r="D67" s="14"/>
      <c r="E67" s="148" t="s">
        <v>715</v>
      </c>
      <c r="F67" s="90">
        <v>2</v>
      </c>
      <c r="G67" s="149"/>
      <c r="H67" s="14"/>
      <c r="I67" s="14"/>
    </row>
    <row r="68" spans="1:9" x14ac:dyDescent="0.2">
      <c r="A68" s="108"/>
      <c r="B68" s="109" t="s">
        <v>674</v>
      </c>
      <c r="C68" s="109" t="s">
        <v>58</v>
      </c>
      <c r="D68" s="109" t="s">
        <v>101</v>
      </c>
      <c r="E68" s="143" t="s">
        <v>716</v>
      </c>
      <c r="F68" s="143" t="s">
        <v>717</v>
      </c>
      <c r="G68" s="145"/>
      <c r="H68" s="14"/>
      <c r="I68" s="14"/>
    </row>
    <row r="69" spans="1:9" x14ac:dyDescent="0.2">
      <c r="A69" s="108" t="s">
        <v>720</v>
      </c>
      <c r="B69" s="110" t="s">
        <v>73</v>
      </c>
      <c r="C69" s="110" t="s">
        <v>114</v>
      </c>
      <c r="D69" s="110" t="s">
        <v>64</v>
      </c>
      <c r="E69" s="143" t="s">
        <v>719</v>
      </c>
      <c r="F69" s="143" t="s">
        <v>718</v>
      </c>
      <c r="G69" s="145"/>
      <c r="H69" s="14"/>
      <c r="I69" s="14"/>
    </row>
    <row r="70" spans="1:9" x14ac:dyDescent="0.2">
      <c r="A70" s="111">
        <v>1</v>
      </c>
      <c r="B70" s="8">
        <v>1</v>
      </c>
      <c r="C70" s="8">
        <v>1.1000000000000001</v>
      </c>
      <c r="D70" s="8">
        <v>3</v>
      </c>
      <c r="E70" s="73">
        <v>39</v>
      </c>
      <c r="F70" s="90">
        <v>60</v>
      </c>
      <c r="G70" s="91"/>
      <c r="H70" s="14"/>
      <c r="I70" s="14"/>
    </row>
    <row r="71" spans="1:9" x14ac:dyDescent="0.2">
      <c r="A71" s="111">
        <v>2</v>
      </c>
      <c r="B71" s="8">
        <v>25</v>
      </c>
      <c r="C71" s="8">
        <v>4.5999999999999996</v>
      </c>
      <c r="D71" s="8">
        <v>10</v>
      </c>
      <c r="E71" s="90"/>
      <c r="F71" s="90"/>
      <c r="G71" s="91"/>
      <c r="H71" s="14"/>
      <c r="I71" s="14"/>
    </row>
    <row r="72" spans="1:9" x14ac:dyDescent="0.2">
      <c r="A72" s="111">
        <v>3</v>
      </c>
      <c r="B72" s="8">
        <v>35</v>
      </c>
      <c r="C72" s="8">
        <v>4.5999999999999996</v>
      </c>
      <c r="D72" s="8">
        <v>10</v>
      </c>
      <c r="E72" s="90"/>
      <c r="F72" s="90"/>
      <c r="G72" s="91"/>
      <c r="H72" s="14"/>
      <c r="I72" s="14"/>
    </row>
    <row r="73" spans="1:9" x14ac:dyDescent="0.2">
      <c r="A73" s="100">
        <v>4</v>
      </c>
      <c r="B73" s="15">
        <v>45</v>
      </c>
      <c r="C73" s="8">
        <v>4.5999999999999996</v>
      </c>
      <c r="D73" s="8">
        <v>10</v>
      </c>
      <c r="E73" s="90"/>
      <c r="F73" s="90"/>
      <c r="G73" s="91"/>
      <c r="H73" s="14"/>
      <c r="I73" s="14"/>
    </row>
    <row r="74" spans="1:9" x14ac:dyDescent="0.2">
      <c r="A74" s="100">
        <v>5</v>
      </c>
      <c r="B74" s="15">
        <v>55</v>
      </c>
      <c r="C74" s="15">
        <v>4.5999999999999996</v>
      </c>
      <c r="D74" s="15">
        <v>10</v>
      </c>
      <c r="E74" s="90"/>
      <c r="F74" s="90"/>
      <c r="G74" s="91"/>
      <c r="H74" s="14"/>
      <c r="I74" s="14"/>
    </row>
    <row r="75" spans="1:9" x14ac:dyDescent="0.2">
      <c r="A75" s="100">
        <v>6</v>
      </c>
      <c r="B75" s="15"/>
      <c r="C75" s="15"/>
      <c r="D75" s="15"/>
      <c r="E75" s="90"/>
      <c r="F75" s="90"/>
      <c r="G75" s="91"/>
      <c r="H75" s="14"/>
      <c r="I75" s="14"/>
    </row>
    <row r="76" spans="1:9" x14ac:dyDescent="0.2">
      <c r="A76" s="100">
        <v>7</v>
      </c>
      <c r="B76" s="15"/>
      <c r="C76" s="15"/>
      <c r="D76" s="15"/>
      <c r="E76" s="90"/>
      <c r="F76" s="90"/>
      <c r="G76" s="91"/>
      <c r="H76" s="14"/>
      <c r="I76" s="14"/>
    </row>
    <row r="77" spans="1:9" x14ac:dyDescent="0.2">
      <c r="A77" s="100">
        <v>8</v>
      </c>
      <c r="B77" s="15"/>
      <c r="C77" s="15"/>
      <c r="D77" s="15"/>
      <c r="E77" s="90"/>
      <c r="F77" s="90"/>
      <c r="G77" s="91"/>
      <c r="H77" s="14"/>
      <c r="I77" s="14"/>
    </row>
    <row r="78" spans="1:9" x14ac:dyDescent="0.2">
      <c r="A78" s="100">
        <v>9</v>
      </c>
      <c r="B78" s="15"/>
      <c r="C78" s="15"/>
      <c r="D78" s="15"/>
      <c r="E78" s="90"/>
      <c r="F78" s="90"/>
      <c r="G78" s="91"/>
      <c r="H78" s="14"/>
      <c r="I78" s="14"/>
    </row>
    <row r="79" spans="1:9" ht="13.5" thickBot="1" x14ac:dyDescent="0.25">
      <c r="A79" s="112">
        <v>10</v>
      </c>
      <c r="B79" s="113"/>
      <c r="C79" s="113"/>
      <c r="D79" s="114"/>
      <c r="E79" s="102"/>
      <c r="F79" s="102"/>
      <c r="G79" s="104"/>
      <c r="H79" s="14"/>
      <c r="I79" s="14"/>
    </row>
    <row r="80" spans="1:9" x14ac:dyDescent="0.2">
      <c r="A80" s="14"/>
      <c r="B80" s="14"/>
      <c r="C80" s="14"/>
      <c r="D80" s="14"/>
      <c r="E80" s="14"/>
      <c r="F80" s="14"/>
      <c r="G80" s="14"/>
      <c r="H80" s="14"/>
      <c r="I80" s="14"/>
    </row>
    <row r="81" spans="1:9" ht="13.5" thickBot="1" x14ac:dyDescent="0.25">
      <c r="A81" s="14"/>
      <c r="B81" s="14"/>
      <c r="C81" s="14"/>
      <c r="D81" s="14"/>
      <c r="E81" s="14"/>
      <c r="F81" s="14"/>
      <c r="G81" s="14"/>
      <c r="H81" s="14"/>
      <c r="I81" s="14"/>
    </row>
    <row r="82" spans="1:9" x14ac:dyDescent="0.2">
      <c r="A82" s="85" t="s">
        <v>681</v>
      </c>
      <c r="B82" s="87"/>
      <c r="C82" s="87"/>
      <c r="D82" s="87"/>
      <c r="E82" s="87"/>
      <c r="F82" s="87"/>
      <c r="G82" s="88"/>
      <c r="H82" s="14"/>
      <c r="I82" s="14"/>
    </row>
    <row r="83" spans="1:9" x14ac:dyDescent="0.2">
      <c r="A83" s="89" t="s">
        <v>682</v>
      </c>
      <c r="B83" s="45"/>
      <c r="C83" s="45" t="s">
        <v>683</v>
      </c>
      <c r="D83" s="50"/>
      <c r="E83" s="50"/>
      <c r="F83" s="50"/>
      <c r="G83" s="91"/>
      <c r="H83" s="14"/>
      <c r="I83" s="14"/>
    </row>
    <row r="84" spans="1:9" x14ac:dyDescent="0.2">
      <c r="A84" s="92" t="s">
        <v>779</v>
      </c>
      <c r="B84" s="50"/>
      <c r="C84" s="93"/>
      <c r="D84" s="50"/>
      <c r="E84" s="50"/>
      <c r="F84" s="50"/>
      <c r="G84" s="91"/>
      <c r="H84" s="14"/>
      <c r="I84" s="14"/>
    </row>
    <row r="85" spans="1:9" x14ac:dyDescent="0.2">
      <c r="A85" s="89" t="s">
        <v>675</v>
      </c>
      <c r="B85" s="45" t="s">
        <v>684</v>
      </c>
      <c r="C85" s="45" t="s">
        <v>685</v>
      </c>
      <c r="D85" s="45" t="s">
        <v>643</v>
      </c>
      <c r="E85" s="45" t="s">
        <v>686</v>
      </c>
      <c r="F85" s="13"/>
      <c r="G85" s="146"/>
      <c r="H85" s="14"/>
      <c r="I85" s="14"/>
    </row>
    <row r="86" spans="1:9" x14ac:dyDescent="0.2">
      <c r="A86" s="99">
        <v>1</v>
      </c>
      <c r="B86" s="90">
        <v>1</v>
      </c>
      <c r="C86" s="90">
        <v>1992</v>
      </c>
      <c r="D86" s="90">
        <v>130</v>
      </c>
      <c r="E86" s="90">
        <v>40</v>
      </c>
      <c r="F86" s="15"/>
      <c r="G86" s="147"/>
      <c r="H86" s="14"/>
      <c r="I86" s="14"/>
    </row>
    <row r="87" spans="1:9" x14ac:dyDescent="0.2">
      <c r="A87" s="105"/>
      <c r="B87" s="50"/>
      <c r="C87" s="50"/>
      <c r="D87" s="50"/>
      <c r="E87" s="50"/>
      <c r="F87" s="50"/>
      <c r="G87" s="91"/>
      <c r="H87" s="14"/>
      <c r="I87" s="14"/>
    </row>
    <row r="88" spans="1:9" x14ac:dyDescent="0.2">
      <c r="A88" s="106" t="s">
        <v>105</v>
      </c>
      <c r="B88" s="15">
        <v>2</v>
      </c>
      <c r="C88" s="6"/>
      <c r="D88" s="14"/>
      <c r="E88" s="142" t="s">
        <v>714</v>
      </c>
      <c r="F88" s="90">
        <v>1</v>
      </c>
      <c r="G88" s="144" t="s">
        <v>687</v>
      </c>
      <c r="H88" s="14"/>
      <c r="I88" s="14"/>
    </row>
    <row r="89" spans="1:9" x14ac:dyDescent="0.2">
      <c r="A89" s="107" t="s">
        <v>85</v>
      </c>
      <c r="B89" s="15">
        <v>5</v>
      </c>
      <c r="C89" s="14"/>
      <c r="D89" s="14"/>
      <c r="E89" s="148" t="s">
        <v>721</v>
      </c>
      <c r="F89" s="90">
        <v>1</v>
      </c>
      <c r="G89" s="95">
        <v>0.5</v>
      </c>
      <c r="H89" s="14"/>
      <c r="I89" s="14"/>
    </row>
    <row r="90" spans="1:9" x14ac:dyDescent="0.2">
      <c r="A90" s="107" t="s">
        <v>660</v>
      </c>
      <c r="B90" s="15">
        <v>2</v>
      </c>
      <c r="C90" s="14"/>
      <c r="D90" s="14"/>
      <c r="E90" s="148" t="s">
        <v>715</v>
      </c>
      <c r="F90" s="90">
        <v>2</v>
      </c>
      <c r="G90" s="149"/>
      <c r="H90" s="14"/>
      <c r="I90" s="14"/>
    </row>
    <row r="91" spans="1:9" x14ac:dyDescent="0.2">
      <c r="A91" s="108"/>
      <c r="B91" s="109" t="s">
        <v>674</v>
      </c>
      <c r="C91" s="109" t="s">
        <v>58</v>
      </c>
      <c r="D91" s="109" t="s">
        <v>101</v>
      </c>
      <c r="E91" s="143" t="s">
        <v>716</v>
      </c>
      <c r="F91" s="143" t="s">
        <v>717</v>
      </c>
      <c r="G91" s="145"/>
      <c r="H91" s="14"/>
      <c r="I91" s="14"/>
    </row>
    <row r="92" spans="1:9" x14ac:dyDescent="0.2">
      <c r="A92" s="108" t="s">
        <v>720</v>
      </c>
      <c r="B92" s="110" t="s">
        <v>73</v>
      </c>
      <c r="C92" s="110" t="s">
        <v>114</v>
      </c>
      <c r="D92" s="110" t="s">
        <v>64</v>
      </c>
      <c r="E92" s="143" t="s">
        <v>719</v>
      </c>
      <c r="F92" s="143" t="s">
        <v>718</v>
      </c>
      <c r="G92" s="145"/>
      <c r="H92" s="14"/>
      <c r="I92" s="14"/>
    </row>
    <row r="93" spans="1:9" x14ac:dyDescent="0.2">
      <c r="A93" s="111">
        <v>1</v>
      </c>
      <c r="B93" s="8">
        <v>1</v>
      </c>
      <c r="C93" s="8">
        <v>1.1000000000000001</v>
      </c>
      <c r="D93" s="8">
        <v>3</v>
      </c>
      <c r="E93" s="73">
        <v>39</v>
      </c>
      <c r="F93" s="90">
        <v>60</v>
      </c>
      <c r="G93" s="91"/>
      <c r="H93" s="14"/>
      <c r="I93" s="14"/>
    </row>
    <row r="94" spans="1:9" x14ac:dyDescent="0.2">
      <c r="A94" s="111">
        <v>2</v>
      </c>
      <c r="B94" s="8">
        <v>25</v>
      </c>
      <c r="C94" s="8">
        <v>4.5999999999999996</v>
      </c>
      <c r="D94" s="8">
        <v>10</v>
      </c>
      <c r="E94" s="90"/>
      <c r="F94" s="90"/>
      <c r="G94" s="91"/>
      <c r="H94" s="14"/>
      <c r="I94" s="14"/>
    </row>
    <row r="95" spans="1:9" x14ac:dyDescent="0.2">
      <c r="A95" s="111">
        <v>3</v>
      </c>
      <c r="B95" s="8">
        <v>35</v>
      </c>
      <c r="C95" s="8">
        <v>4.5999999999999996</v>
      </c>
      <c r="D95" s="8">
        <v>10</v>
      </c>
      <c r="E95" s="90"/>
      <c r="F95" s="90"/>
      <c r="G95" s="91"/>
      <c r="H95" s="14"/>
      <c r="I95" s="14"/>
    </row>
    <row r="96" spans="1:9" x14ac:dyDescent="0.2">
      <c r="A96" s="100">
        <v>4</v>
      </c>
      <c r="B96" s="15">
        <v>45</v>
      </c>
      <c r="C96" s="8">
        <v>4.5999999999999996</v>
      </c>
      <c r="D96" s="8">
        <v>10</v>
      </c>
      <c r="E96" s="90"/>
      <c r="F96" s="90"/>
      <c r="G96" s="91"/>
      <c r="H96" s="14"/>
      <c r="I96" s="14"/>
    </row>
    <row r="97" spans="1:9" x14ac:dyDescent="0.2">
      <c r="A97" s="100">
        <v>5</v>
      </c>
      <c r="B97" s="15">
        <v>55</v>
      </c>
      <c r="C97" s="15">
        <v>4.5999999999999996</v>
      </c>
      <c r="D97" s="15">
        <v>10</v>
      </c>
      <c r="E97" s="90"/>
      <c r="F97" s="90"/>
      <c r="G97" s="91"/>
      <c r="H97" s="14"/>
      <c r="I97" s="14"/>
    </row>
    <row r="98" spans="1:9" x14ac:dyDescent="0.2">
      <c r="A98" s="100">
        <v>6</v>
      </c>
      <c r="B98" s="15"/>
      <c r="C98" s="15"/>
      <c r="D98" s="15"/>
      <c r="E98" s="90"/>
      <c r="F98" s="90"/>
      <c r="G98" s="91"/>
      <c r="H98" s="14"/>
      <c r="I98" s="14"/>
    </row>
    <row r="99" spans="1:9" x14ac:dyDescent="0.2">
      <c r="A99" s="100">
        <v>7</v>
      </c>
      <c r="B99" s="15"/>
      <c r="C99" s="15"/>
      <c r="D99" s="15"/>
      <c r="E99" s="90"/>
      <c r="F99" s="90"/>
      <c r="G99" s="91"/>
      <c r="H99" s="14"/>
      <c r="I99" s="14"/>
    </row>
    <row r="100" spans="1:9" x14ac:dyDescent="0.2">
      <c r="A100" s="100">
        <v>8</v>
      </c>
      <c r="B100" s="15"/>
      <c r="C100" s="15"/>
      <c r="D100" s="15"/>
      <c r="E100" s="90"/>
      <c r="F100" s="90"/>
      <c r="G100" s="91"/>
      <c r="H100" s="14"/>
      <c r="I100" s="14"/>
    </row>
    <row r="101" spans="1:9" x14ac:dyDescent="0.2">
      <c r="A101" s="100">
        <v>9</v>
      </c>
      <c r="B101" s="15"/>
      <c r="C101" s="15"/>
      <c r="D101" s="15"/>
      <c r="E101" s="90"/>
      <c r="F101" s="90"/>
      <c r="G101" s="91"/>
      <c r="H101" s="14"/>
      <c r="I101" s="14"/>
    </row>
    <row r="102" spans="1:9" ht="13.5" thickBot="1" x14ac:dyDescent="0.25">
      <c r="A102" s="112">
        <v>10</v>
      </c>
      <c r="B102" s="113"/>
      <c r="C102" s="113"/>
      <c r="D102" s="114"/>
      <c r="E102" s="102"/>
      <c r="F102" s="102"/>
      <c r="G102" s="104"/>
      <c r="H102" s="14"/>
      <c r="I102" s="14"/>
    </row>
    <row r="103" spans="1:9" x14ac:dyDescent="0.2">
      <c r="A103" s="14"/>
      <c r="B103" s="14"/>
      <c r="C103" s="14"/>
      <c r="D103" s="14"/>
      <c r="E103" s="14"/>
      <c r="F103" s="14"/>
      <c r="G103" s="14"/>
      <c r="H103" s="14"/>
      <c r="I103" s="14"/>
    </row>
    <row r="104" spans="1:9" ht="13.5" thickBot="1" x14ac:dyDescent="0.25">
      <c r="A104" s="14"/>
      <c r="B104" s="14"/>
      <c r="C104" s="14"/>
      <c r="D104" s="14"/>
      <c r="E104" s="14"/>
      <c r="F104" s="14"/>
      <c r="G104" s="14"/>
      <c r="H104" s="14"/>
      <c r="I104" s="14"/>
    </row>
    <row r="105" spans="1:9" x14ac:dyDescent="0.2">
      <c r="A105" s="85" t="s">
        <v>681</v>
      </c>
      <c r="B105" s="87"/>
      <c r="C105" s="87"/>
      <c r="D105" s="87"/>
      <c r="E105" s="87"/>
      <c r="F105" s="87"/>
      <c r="G105" s="88"/>
      <c r="H105" s="14"/>
      <c r="I105" s="14"/>
    </row>
    <row r="106" spans="1:9" x14ac:dyDescent="0.2">
      <c r="A106" s="89" t="s">
        <v>682</v>
      </c>
      <c r="B106" s="45"/>
      <c r="C106" s="45" t="s">
        <v>683</v>
      </c>
      <c r="D106" s="50"/>
      <c r="E106" s="50"/>
      <c r="F106" s="50"/>
      <c r="G106" s="91"/>
      <c r="H106" s="14"/>
      <c r="I106" s="14"/>
    </row>
    <row r="107" spans="1:9" x14ac:dyDescent="0.2">
      <c r="A107" s="92" t="s">
        <v>784</v>
      </c>
      <c r="B107" s="50"/>
      <c r="C107" s="93"/>
      <c r="D107" s="50"/>
      <c r="E107" s="50"/>
      <c r="F107" s="50"/>
      <c r="G107" s="91"/>
      <c r="H107" s="14"/>
      <c r="I107" s="14"/>
    </row>
    <row r="108" spans="1:9" x14ac:dyDescent="0.2">
      <c r="A108" s="89" t="s">
        <v>675</v>
      </c>
      <c r="B108" s="45" t="s">
        <v>684</v>
      </c>
      <c r="C108" s="45" t="s">
        <v>685</v>
      </c>
      <c r="D108" s="45" t="s">
        <v>643</v>
      </c>
      <c r="E108" s="45" t="s">
        <v>686</v>
      </c>
      <c r="F108" s="13"/>
      <c r="G108" s="146"/>
      <c r="H108" s="14"/>
      <c r="I108" s="14"/>
    </row>
    <row r="109" spans="1:9" x14ac:dyDescent="0.2">
      <c r="A109" s="99">
        <v>10</v>
      </c>
      <c r="B109" s="90">
        <v>1</v>
      </c>
      <c r="C109" s="90">
        <v>1990</v>
      </c>
      <c r="D109" s="90">
        <v>312</v>
      </c>
      <c r="E109" s="90">
        <v>10</v>
      </c>
      <c r="F109" s="15"/>
      <c r="G109" s="147"/>
      <c r="H109" s="14"/>
      <c r="I109" s="14"/>
    </row>
    <row r="110" spans="1:9" x14ac:dyDescent="0.2">
      <c r="A110" s="105"/>
      <c r="B110" s="50"/>
      <c r="C110" s="50"/>
      <c r="D110" s="50"/>
      <c r="E110" s="50"/>
      <c r="F110" s="50"/>
      <c r="G110" s="91"/>
      <c r="H110" s="14"/>
      <c r="I110" s="14"/>
    </row>
    <row r="111" spans="1:9" x14ac:dyDescent="0.2">
      <c r="A111" s="106" t="s">
        <v>105</v>
      </c>
      <c r="B111" s="15">
        <v>2</v>
      </c>
      <c r="C111" s="6"/>
      <c r="D111" s="14"/>
      <c r="E111" s="142" t="s">
        <v>714</v>
      </c>
      <c r="F111" s="90">
        <v>2</v>
      </c>
      <c r="G111" s="144" t="s">
        <v>687</v>
      </c>
      <c r="H111" s="14"/>
      <c r="I111" s="14"/>
    </row>
    <row r="112" spans="1:9" x14ac:dyDescent="0.2">
      <c r="A112" s="107" t="s">
        <v>85</v>
      </c>
      <c r="B112" s="15">
        <v>2</v>
      </c>
      <c r="C112" s="14"/>
      <c r="D112" s="14"/>
      <c r="E112" s="148" t="s">
        <v>721</v>
      </c>
      <c r="F112" s="90"/>
      <c r="G112" s="95">
        <v>0.5</v>
      </c>
      <c r="H112" s="14"/>
      <c r="I112" s="14"/>
    </row>
    <row r="113" spans="1:9" x14ac:dyDescent="0.2">
      <c r="A113" s="107" t="s">
        <v>660</v>
      </c>
      <c r="B113" s="15">
        <v>1</v>
      </c>
      <c r="C113" s="14"/>
      <c r="D113" s="14"/>
      <c r="E113" s="148" t="s">
        <v>715</v>
      </c>
      <c r="F113" s="90"/>
      <c r="G113" s="149"/>
      <c r="H113" s="14"/>
      <c r="I113" s="14"/>
    </row>
    <row r="114" spans="1:9" x14ac:dyDescent="0.2">
      <c r="A114" s="108"/>
      <c r="B114" s="109" t="s">
        <v>674</v>
      </c>
      <c r="C114" s="109" t="s">
        <v>58</v>
      </c>
      <c r="D114" s="109" t="s">
        <v>101</v>
      </c>
      <c r="E114" s="143" t="s">
        <v>716</v>
      </c>
      <c r="F114" s="143" t="s">
        <v>717</v>
      </c>
      <c r="G114" s="145"/>
      <c r="H114" s="14"/>
      <c r="I114" s="14"/>
    </row>
    <row r="115" spans="1:9" x14ac:dyDescent="0.2">
      <c r="A115" s="108" t="s">
        <v>720</v>
      </c>
      <c r="B115" s="110" t="s">
        <v>73</v>
      </c>
      <c r="C115" s="110" t="s">
        <v>114</v>
      </c>
      <c r="D115" s="110" t="s">
        <v>64</v>
      </c>
      <c r="E115" s="143" t="s">
        <v>719</v>
      </c>
      <c r="F115" s="143" t="s">
        <v>718</v>
      </c>
      <c r="G115" s="145"/>
      <c r="H115" s="14"/>
      <c r="I115" s="14"/>
    </row>
    <row r="116" spans="1:9" x14ac:dyDescent="0.2">
      <c r="A116" s="111">
        <v>1</v>
      </c>
      <c r="B116" s="8">
        <v>1</v>
      </c>
      <c r="C116" s="8">
        <v>1</v>
      </c>
      <c r="D116" s="8">
        <v>3</v>
      </c>
      <c r="E116" s="73"/>
      <c r="F116" s="90"/>
      <c r="G116" s="91"/>
      <c r="H116" s="14"/>
      <c r="I116" s="14"/>
    </row>
    <row r="117" spans="1:9" x14ac:dyDescent="0.2">
      <c r="A117" s="111">
        <v>2</v>
      </c>
      <c r="B117" s="8">
        <v>30</v>
      </c>
      <c r="C117" s="8">
        <v>4.5999999999999996</v>
      </c>
      <c r="D117" s="8">
        <v>10</v>
      </c>
      <c r="E117" s="90"/>
      <c r="F117" s="90"/>
      <c r="G117" s="91"/>
      <c r="H117" s="14"/>
      <c r="I117" s="14"/>
    </row>
    <row r="118" spans="1:9" x14ac:dyDescent="0.2">
      <c r="A118" s="111">
        <v>3</v>
      </c>
      <c r="B118" s="8"/>
      <c r="C118" s="8"/>
      <c r="D118" s="8"/>
      <c r="E118" s="90"/>
      <c r="F118" s="90"/>
      <c r="G118" s="91"/>
      <c r="H118" s="14"/>
      <c r="I118" s="14"/>
    </row>
    <row r="119" spans="1:9" x14ac:dyDescent="0.2">
      <c r="A119" s="100">
        <v>4</v>
      </c>
      <c r="B119" s="15"/>
      <c r="C119" s="8"/>
      <c r="D119" s="8"/>
      <c r="E119" s="90"/>
      <c r="F119" s="90"/>
      <c r="G119" s="91"/>
      <c r="H119" s="14"/>
      <c r="I119" s="14"/>
    </row>
    <row r="120" spans="1:9" x14ac:dyDescent="0.2">
      <c r="A120" s="100">
        <v>5</v>
      </c>
      <c r="B120" s="15"/>
      <c r="C120" s="15"/>
      <c r="D120" s="15"/>
      <c r="E120" s="90"/>
      <c r="F120" s="90"/>
      <c r="G120" s="91"/>
      <c r="H120" s="14"/>
      <c r="I120" s="14"/>
    </row>
    <row r="121" spans="1:9" x14ac:dyDescent="0.2">
      <c r="A121" s="100">
        <v>6</v>
      </c>
      <c r="B121" s="15"/>
      <c r="C121" s="15"/>
      <c r="D121" s="15"/>
      <c r="E121" s="90"/>
      <c r="F121" s="90"/>
      <c r="G121" s="91"/>
      <c r="H121" s="14"/>
      <c r="I121" s="14"/>
    </row>
    <row r="122" spans="1:9" x14ac:dyDescent="0.2">
      <c r="A122" s="100">
        <v>7</v>
      </c>
      <c r="B122" s="15"/>
      <c r="C122" s="15"/>
      <c r="D122" s="15"/>
      <c r="E122" s="90"/>
      <c r="F122" s="90"/>
      <c r="G122" s="91"/>
      <c r="H122" s="14"/>
      <c r="I122" s="14"/>
    </row>
    <row r="123" spans="1:9" x14ac:dyDescent="0.2">
      <c r="A123" s="100">
        <v>8</v>
      </c>
      <c r="B123" s="15"/>
      <c r="C123" s="15"/>
      <c r="D123" s="15"/>
      <c r="E123" s="90"/>
      <c r="F123" s="90"/>
      <c r="G123" s="91"/>
      <c r="H123" s="14"/>
      <c r="I123" s="14"/>
    </row>
    <row r="124" spans="1:9" x14ac:dyDescent="0.2">
      <c r="A124" s="100">
        <v>9</v>
      </c>
      <c r="B124" s="15"/>
      <c r="C124" s="15"/>
      <c r="D124" s="15"/>
      <c r="E124" s="90"/>
      <c r="F124" s="90"/>
      <c r="G124" s="91"/>
      <c r="H124" s="14"/>
      <c r="I124" s="14"/>
    </row>
    <row r="125" spans="1:9" ht="13.5" thickBot="1" x14ac:dyDescent="0.25">
      <c r="A125" s="112">
        <v>10</v>
      </c>
      <c r="B125" s="113"/>
      <c r="C125" s="113"/>
      <c r="D125" s="114"/>
      <c r="E125" s="102"/>
      <c r="F125" s="102"/>
      <c r="G125" s="104"/>
      <c r="H125" s="14"/>
      <c r="I125" s="14"/>
    </row>
    <row r="126" spans="1:9" x14ac:dyDescent="0.2">
      <c r="A126" s="14"/>
      <c r="B126" s="14"/>
      <c r="C126" s="14"/>
      <c r="D126" s="14"/>
      <c r="E126" s="14"/>
      <c r="F126" s="14"/>
      <c r="G126" s="14"/>
      <c r="H126" s="14"/>
      <c r="I126" s="14"/>
    </row>
    <row r="127" spans="1:9" ht="13.5" thickBot="1" x14ac:dyDescent="0.25">
      <c r="A127" s="14"/>
      <c r="B127" s="14"/>
      <c r="C127" s="14"/>
      <c r="D127" s="14"/>
      <c r="E127" s="14"/>
      <c r="F127" s="14"/>
      <c r="G127" s="14"/>
      <c r="H127" s="14"/>
      <c r="I127" s="14"/>
    </row>
    <row r="128" spans="1:9" x14ac:dyDescent="0.2">
      <c r="A128" s="85" t="s">
        <v>681</v>
      </c>
      <c r="B128" s="87"/>
      <c r="C128" s="87"/>
      <c r="D128" s="87"/>
      <c r="E128" s="87"/>
      <c r="F128" s="87"/>
      <c r="G128" s="88"/>
      <c r="H128" s="14"/>
      <c r="I128" s="14"/>
    </row>
    <row r="129" spans="1:9" x14ac:dyDescent="0.2">
      <c r="A129" s="89" t="s">
        <v>682</v>
      </c>
      <c r="B129" s="45"/>
      <c r="C129" s="45" t="s">
        <v>683</v>
      </c>
      <c r="D129" s="50"/>
      <c r="E129" s="50"/>
      <c r="F129" s="50"/>
      <c r="G129" s="91"/>
      <c r="H129" s="14"/>
      <c r="I129" s="14"/>
    </row>
    <row r="130" spans="1:9" x14ac:dyDescent="0.2">
      <c r="A130" s="92" t="s">
        <v>785</v>
      </c>
      <c r="B130" s="50"/>
      <c r="C130" s="93"/>
      <c r="D130" s="50"/>
      <c r="E130" s="50"/>
      <c r="F130" s="50"/>
      <c r="G130" s="91"/>
      <c r="H130" s="14"/>
      <c r="I130" s="14"/>
    </row>
    <row r="131" spans="1:9" x14ac:dyDescent="0.2">
      <c r="A131" s="89" t="s">
        <v>675</v>
      </c>
      <c r="B131" s="45" t="s">
        <v>684</v>
      </c>
      <c r="C131" s="45" t="s">
        <v>685</v>
      </c>
      <c r="D131" s="45" t="s">
        <v>643</v>
      </c>
      <c r="E131" s="45" t="s">
        <v>686</v>
      </c>
      <c r="F131" s="13"/>
      <c r="G131" s="146"/>
      <c r="H131" s="14"/>
      <c r="I131" s="14"/>
    </row>
    <row r="132" spans="1:9" x14ac:dyDescent="0.2">
      <c r="A132" s="99">
        <v>10</v>
      </c>
      <c r="B132" s="90">
        <v>1</v>
      </c>
      <c r="C132" s="90">
        <v>1990</v>
      </c>
      <c r="D132" s="90">
        <v>312</v>
      </c>
      <c r="E132" s="90">
        <v>10</v>
      </c>
      <c r="F132" s="15"/>
      <c r="G132" s="147"/>
      <c r="H132" s="14"/>
      <c r="I132" s="14"/>
    </row>
    <row r="133" spans="1:9" x14ac:dyDescent="0.2">
      <c r="A133" s="105"/>
      <c r="B133" s="50"/>
      <c r="C133" s="50"/>
      <c r="D133" s="50"/>
      <c r="E133" s="50"/>
      <c r="F133" s="50"/>
      <c r="G133" s="91"/>
      <c r="H133" s="14"/>
      <c r="I133" s="14"/>
    </row>
    <row r="134" spans="1:9" x14ac:dyDescent="0.2">
      <c r="A134" s="106" t="s">
        <v>105</v>
      </c>
      <c r="B134" s="15">
        <v>2</v>
      </c>
      <c r="C134" s="6"/>
      <c r="D134" s="14"/>
      <c r="E134" s="142" t="s">
        <v>714</v>
      </c>
      <c r="F134" s="90">
        <v>1</v>
      </c>
      <c r="G134" s="144" t="s">
        <v>687</v>
      </c>
      <c r="H134" s="14"/>
      <c r="I134" s="14"/>
    </row>
    <row r="135" spans="1:9" x14ac:dyDescent="0.2">
      <c r="A135" s="107" t="s">
        <v>85</v>
      </c>
      <c r="B135" s="15">
        <v>2</v>
      </c>
      <c r="C135" s="14"/>
      <c r="D135" s="14"/>
      <c r="E135" s="148" t="s">
        <v>721</v>
      </c>
      <c r="F135" s="90"/>
      <c r="G135" s="95">
        <v>0.5</v>
      </c>
      <c r="H135" s="14"/>
      <c r="I135" s="14"/>
    </row>
    <row r="136" spans="1:9" x14ac:dyDescent="0.2">
      <c r="A136" s="107" t="s">
        <v>660</v>
      </c>
      <c r="B136" s="15">
        <v>1</v>
      </c>
      <c r="C136" s="14"/>
      <c r="D136" s="14"/>
      <c r="E136" s="148" t="s">
        <v>715</v>
      </c>
      <c r="F136" s="90"/>
      <c r="G136" s="149"/>
      <c r="H136" s="14"/>
      <c r="I136" s="14"/>
    </row>
    <row r="137" spans="1:9" x14ac:dyDescent="0.2">
      <c r="A137" s="108"/>
      <c r="B137" s="109" t="s">
        <v>674</v>
      </c>
      <c r="C137" s="109" t="s">
        <v>58</v>
      </c>
      <c r="D137" s="109" t="s">
        <v>101</v>
      </c>
      <c r="E137" s="143" t="s">
        <v>716</v>
      </c>
      <c r="F137" s="143" t="s">
        <v>717</v>
      </c>
      <c r="G137" s="145"/>
      <c r="H137" s="14"/>
      <c r="I137" s="14"/>
    </row>
    <row r="138" spans="1:9" x14ac:dyDescent="0.2">
      <c r="A138" s="108" t="s">
        <v>720</v>
      </c>
      <c r="B138" s="110" t="s">
        <v>73</v>
      </c>
      <c r="C138" s="110" t="s">
        <v>114</v>
      </c>
      <c r="D138" s="110" t="s">
        <v>64</v>
      </c>
      <c r="E138" s="143" t="s">
        <v>719</v>
      </c>
      <c r="F138" s="143" t="s">
        <v>718</v>
      </c>
      <c r="G138" s="145"/>
      <c r="H138" s="14"/>
      <c r="I138" s="14"/>
    </row>
    <row r="139" spans="1:9" x14ac:dyDescent="0.2">
      <c r="A139" s="111">
        <v>1</v>
      </c>
      <c r="B139" s="8">
        <v>1</v>
      </c>
      <c r="C139" s="8">
        <v>1</v>
      </c>
      <c r="D139" s="8">
        <v>3</v>
      </c>
      <c r="E139" s="73"/>
      <c r="F139" s="90"/>
      <c r="G139" s="91"/>
      <c r="H139" s="14"/>
      <c r="I139" s="14"/>
    </row>
    <row r="140" spans="1:9" x14ac:dyDescent="0.2">
      <c r="A140" s="111">
        <v>2</v>
      </c>
      <c r="B140" s="8">
        <v>30</v>
      </c>
      <c r="C140" s="8">
        <v>4.5999999999999996</v>
      </c>
      <c r="D140" s="8">
        <v>10</v>
      </c>
      <c r="E140" s="90"/>
      <c r="F140" s="90"/>
      <c r="G140" s="91"/>
      <c r="H140" s="14"/>
      <c r="I140" s="14"/>
    </row>
    <row r="141" spans="1:9" x14ac:dyDescent="0.2">
      <c r="A141" s="111">
        <v>3</v>
      </c>
      <c r="B141" s="8"/>
      <c r="C141" s="8"/>
      <c r="D141" s="8"/>
      <c r="E141" s="90"/>
      <c r="F141" s="90"/>
      <c r="G141" s="91"/>
      <c r="H141" s="14"/>
      <c r="I141" s="14"/>
    </row>
    <row r="142" spans="1:9" x14ac:dyDescent="0.2">
      <c r="A142" s="100">
        <v>4</v>
      </c>
      <c r="B142" s="15"/>
      <c r="C142" s="8"/>
      <c r="D142" s="8"/>
      <c r="E142" s="90"/>
      <c r="F142" s="90"/>
      <c r="G142" s="91"/>
      <c r="H142" s="14"/>
      <c r="I142" s="14"/>
    </row>
    <row r="143" spans="1:9" x14ac:dyDescent="0.2">
      <c r="A143" s="100">
        <v>5</v>
      </c>
      <c r="B143" s="15"/>
      <c r="C143" s="15"/>
      <c r="D143" s="15"/>
      <c r="E143" s="90"/>
      <c r="F143" s="90"/>
      <c r="G143" s="91"/>
      <c r="H143" s="14"/>
      <c r="I143" s="14"/>
    </row>
    <row r="144" spans="1:9" x14ac:dyDescent="0.2">
      <c r="A144" s="100">
        <v>6</v>
      </c>
      <c r="B144" s="15"/>
      <c r="C144" s="15"/>
      <c r="D144" s="15"/>
      <c r="E144" s="90"/>
      <c r="F144" s="90"/>
      <c r="G144" s="91"/>
      <c r="H144" s="14"/>
      <c r="I144" s="14"/>
    </row>
    <row r="145" spans="1:9" x14ac:dyDescent="0.2">
      <c r="A145" s="100">
        <v>7</v>
      </c>
      <c r="B145" s="15"/>
      <c r="C145" s="15"/>
      <c r="D145" s="15"/>
      <c r="E145" s="90"/>
      <c r="F145" s="90"/>
      <c r="G145" s="91"/>
      <c r="H145" s="14"/>
      <c r="I145" s="14"/>
    </row>
    <row r="146" spans="1:9" x14ac:dyDescent="0.2">
      <c r="A146" s="100">
        <v>8</v>
      </c>
      <c r="B146" s="15"/>
      <c r="C146" s="15"/>
      <c r="D146" s="15"/>
      <c r="E146" s="90"/>
      <c r="F146" s="90"/>
      <c r="G146" s="91"/>
      <c r="H146" s="14"/>
      <c r="I146" s="14"/>
    </row>
    <row r="147" spans="1:9" x14ac:dyDescent="0.2">
      <c r="A147" s="100">
        <v>9</v>
      </c>
      <c r="B147" s="15"/>
      <c r="C147" s="15"/>
      <c r="D147" s="15"/>
      <c r="E147" s="90"/>
      <c r="F147" s="90"/>
      <c r="G147" s="91"/>
      <c r="H147" s="14"/>
      <c r="I147" s="14"/>
    </row>
    <row r="148" spans="1:9" ht="13.5" thickBot="1" x14ac:dyDescent="0.25">
      <c r="A148" s="112">
        <v>10</v>
      </c>
      <c r="B148" s="113"/>
      <c r="C148" s="113"/>
      <c r="D148" s="114"/>
      <c r="E148" s="102"/>
      <c r="F148" s="102"/>
      <c r="G148" s="104"/>
      <c r="H148" s="14"/>
      <c r="I148" s="14"/>
    </row>
    <row r="149" spans="1:9" x14ac:dyDescent="0.2">
      <c r="A149" s="14"/>
      <c r="B149" s="14"/>
      <c r="C149" s="14"/>
      <c r="D149" s="14"/>
      <c r="E149" s="14"/>
      <c r="F149" s="14"/>
      <c r="G149" s="14"/>
      <c r="H149" s="14"/>
      <c r="I149" s="14"/>
    </row>
    <row r="150" spans="1:9" x14ac:dyDescent="0.2">
      <c r="A150" s="14"/>
      <c r="B150" s="14"/>
      <c r="C150" s="14"/>
      <c r="D150" s="14"/>
      <c r="E150" s="14"/>
      <c r="F150" s="14"/>
      <c r="G150" s="14"/>
      <c r="H150" s="14"/>
      <c r="I150" s="14"/>
    </row>
    <row r="151" spans="1:9" x14ac:dyDescent="0.2">
      <c r="A151" s="14"/>
      <c r="B151" s="14"/>
      <c r="C151" s="14"/>
      <c r="D151" s="14"/>
      <c r="E151" s="14"/>
      <c r="F151" s="14"/>
      <c r="G151" s="14"/>
      <c r="H151" s="14"/>
      <c r="I151" s="14"/>
    </row>
    <row r="152" spans="1:9" x14ac:dyDescent="0.2">
      <c r="A152" s="14"/>
      <c r="B152" s="14"/>
      <c r="C152" s="14"/>
      <c r="D152" s="14"/>
      <c r="E152" s="14"/>
      <c r="F152" s="14"/>
      <c r="G152" s="14"/>
      <c r="H152" s="14"/>
      <c r="I152" s="14"/>
    </row>
    <row r="153" spans="1:9" x14ac:dyDescent="0.2">
      <c r="A153" s="14"/>
      <c r="B153" s="14"/>
      <c r="C153" s="14"/>
      <c r="D153" s="14"/>
      <c r="E153" s="14"/>
      <c r="F153" s="14"/>
      <c r="G153" s="14"/>
      <c r="H153" s="14"/>
      <c r="I153" s="14"/>
    </row>
    <row r="154" spans="1:9" x14ac:dyDescent="0.2">
      <c r="A154" s="14"/>
      <c r="B154" s="14"/>
      <c r="C154" s="14"/>
      <c r="D154" s="14"/>
      <c r="E154" s="14"/>
      <c r="F154" s="14"/>
      <c r="G154" s="14"/>
      <c r="H154" s="14"/>
      <c r="I154" s="14"/>
    </row>
    <row r="155" spans="1:9" x14ac:dyDescent="0.2">
      <c r="A155" s="14"/>
      <c r="B155" s="14"/>
      <c r="C155" s="14"/>
      <c r="D155" s="14"/>
      <c r="E155" s="14"/>
      <c r="F155" s="14"/>
      <c r="G155" s="14"/>
      <c r="H155" s="14"/>
      <c r="I155" s="14"/>
    </row>
    <row r="156" spans="1:9" x14ac:dyDescent="0.2">
      <c r="A156" s="14"/>
      <c r="B156" s="14"/>
      <c r="C156" s="14"/>
      <c r="D156" s="14"/>
      <c r="E156" s="14"/>
      <c r="F156" s="14"/>
      <c r="G156" s="14"/>
      <c r="H156" s="14"/>
      <c r="I156" s="14"/>
    </row>
    <row r="157" spans="1:9" x14ac:dyDescent="0.2">
      <c r="A157" s="14"/>
      <c r="B157" s="14"/>
      <c r="C157" s="14"/>
      <c r="D157" s="14"/>
      <c r="E157" s="14"/>
      <c r="F157" s="14"/>
      <c r="G157" s="14"/>
      <c r="H157" s="14"/>
      <c r="I157" s="14"/>
    </row>
    <row r="158" spans="1:9" x14ac:dyDescent="0.2">
      <c r="A158" s="14"/>
      <c r="B158" s="14"/>
      <c r="C158" s="14"/>
      <c r="D158" s="14"/>
      <c r="E158" s="14"/>
      <c r="F158" s="14"/>
      <c r="G158" s="14"/>
      <c r="H158" s="14"/>
      <c r="I158" s="14"/>
    </row>
    <row r="159" spans="1:9" x14ac:dyDescent="0.2">
      <c r="A159" s="14"/>
      <c r="B159" s="14"/>
      <c r="C159" s="14"/>
      <c r="D159" s="14"/>
      <c r="E159" s="14"/>
      <c r="F159" s="14"/>
      <c r="G159" s="14"/>
      <c r="H159" s="14"/>
      <c r="I159" s="14"/>
    </row>
    <row r="160" spans="1:9" x14ac:dyDescent="0.2">
      <c r="A160" s="14"/>
      <c r="B160" s="14"/>
      <c r="C160" s="14"/>
      <c r="D160" s="14"/>
      <c r="E160" s="14"/>
      <c r="F160" s="14"/>
      <c r="G160" s="14"/>
      <c r="H160" s="14"/>
      <c r="I160" s="14"/>
    </row>
    <row r="161" spans="1:9" x14ac:dyDescent="0.2">
      <c r="A161" s="14"/>
      <c r="B161" s="14"/>
      <c r="C161" s="14"/>
      <c r="D161" s="14"/>
      <c r="E161" s="14"/>
      <c r="F161" s="14"/>
      <c r="G161" s="14"/>
      <c r="H161" s="14"/>
      <c r="I161" s="14"/>
    </row>
    <row r="162" spans="1:9" x14ac:dyDescent="0.2">
      <c r="A162" s="14"/>
      <c r="B162" s="14"/>
      <c r="C162" s="14"/>
      <c r="D162" s="14"/>
      <c r="E162" s="14"/>
      <c r="F162" s="14"/>
      <c r="G162" s="14"/>
      <c r="H162" s="14"/>
      <c r="I162" s="14"/>
    </row>
    <row r="163" spans="1:9" x14ac:dyDescent="0.2">
      <c r="A163" s="14"/>
      <c r="B163" s="14"/>
      <c r="C163" s="14"/>
      <c r="D163" s="14"/>
      <c r="E163" s="14"/>
      <c r="F163" s="14"/>
      <c r="G163" s="14"/>
      <c r="H163" s="14"/>
      <c r="I163" s="14"/>
    </row>
    <row r="164" spans="1:9" x14ac:dyDescent="0.2">
      <c r="A164" s="14"/>
      <c r="B164" s="14"/>
      <c r="C164" s="14"/>
      <c r="D164" s="14"/>
      <c r="E164" s="14"/>
      <c r="F164" s="14"/>
      <c r="G164" s="14"/>
      <c r="H164" s="14"/>
      <c r="I164" s="14"/>
    </row>
    <row r="165" spans="1:9" x14ac:dyDescent="0.2">
      <c r="A165" s="14"/>
      <c r="B165" s="14"/>
      <c r="C165" s="14"/>
      <c r="D165" s="14"/>
      <c r="E165" s="14"/>
      <c r="F165" s="14"/>
      <c r="G165" s="14"/>
      <c r="H165" s="14"/>
      <c r="I165" s="14"/>
    </row>
    <row r="166" spans="1:9" x14ac:dyDescent="0.2">
      <c r="A166" s="14"/>
      <c r="B166" s="14"/>
      <c r="C166" s="14"/>
      <c r="D166" s="14"/>
      <c r="E166" s="14"/>
      <c r="F166" s="14"/>
      <c r="G166" s="14"/>
      <c r="H166" s="14"/>
      <c r="I166" s="14"/>
    </row>
    <row r="167" spans="1:9" x14ac:dyDescent="0.2">
      <c r="A167" s="14"/>
      <c r="B167" s="14"/>
      <c r="C167" s="14"/>
      <c r="D167" s="14"/>
      <c r="E167" s="14"/>
      <c r="F167" s="14"/>
      <c r="G167" s="14"/>
      <c r="H167" s="14"/>
      <c r="I167" s="14"/>
    </row>
    <row r="168" spans="1:9" x14ac:dyDescent="0.2">
      <c r="A168" s="14"/>
      <c r="B168" s="14"/>
      <c r="C168" s="14"/>
      <c r="D168" s="14"/>
      <c r="E168" s="14"/>
      <c r="F168" s="14"/>
      <c r="G168" s="14"/>
      <c r="H168" s="14"/>
      <c r="I168" s="14"/>
    </row>
    <row r="169" spans="1:9" x14ac:dyDescent="0.2">
      <c r="A169" s="14"/>
      <c r="B169" s="14"/>
      <c r="C169" s="14"/>
      <c r="D169" s="14"/>
      <c r="E169" s="14"/>
      <c r="F169" s="14"/>
      <c r="G169" s="14"/>
      <c r="H169" s="14"/>
      <c r="I169" s="14"/>
    </row>
    <row r="170" spans="1:9" x14ac:dyDescent="0.2">
      <c r="A170" s="14"/>
      <c r="B170" s="14"/>
      <c r="C170" s="14"/>
      <c r="D170" s="14"/>
      <c r="E170" s="14"/>
      <c r="F170" s="14"/>
      <c r="G170" s="14"/>
      <c r="H170" s="14"/>
      <c r="I170" s="14"/>
    </row>
    <row r="171" spans="1:9" x14ac:dyDescent="0.2">
      <c r="A171" s="14"/>
      <c r="B171" s="14"/>
      <c r="C171" s="14"/>
      <c r="D171" s="14"/>
      <c r="E171" s="14"/>
      <c r="F171" s="14"/>
      <c r="G171" s="14"/>
      <c r="H171" s="14"/>
      <c r="I171" s="14"/>
    </row>
    <row r="172" spans="1:9" x14ac:dyDescent="0.2">
      <c r="A172" s="14"/>
      <c r="B172" s="14"/>
      <c r="C172" s="14"/>
      <c r="D172" s="14"/>
      <c r="E172" s="14"/>
      <c r="F172" s="14"/>
      <c r="G172" s="14"/>
      <c r="H172" s="14"/>
      <c r="I172" s="14"/>
    </row>
    <row r="173" spans="1:9" x14ac:dyDescent="0.2">
      <c r="A173" s="14"/>
      <c r="B173" s="14"/>
      <c r="C173" s="14"/>
      <c r="D173" s="14"/>
      <c r="E173" s="14"/>
      <c r="F173" s="14"/>
      <c r="G173" s="14"/>
      <c r="H173" s="14"/>
      <c r="I173" s="14"/>
    </row>
    <row r="174" spans="1:9" x14ac:dyDescent="0.2">
      <c r="A174" s="14"/>
      <c r="B174" s="14"/>
      <c r="C174" s="14"/>
      <c r="D174" s="14"/>
      <c r="E174" s="14"/>
      <c r="F174" s="14"/>
      <c r="G174" s="14"/>
      <c r="H174" s="14"/>
      <c r="I174" s="14"/>
    </row>
    <row r="175" spans="1:9" x14ac:dyDescent="0.2">
      <c r="A175" s="14"/>
      <c r="B175" s="14"/>
      <c r="C175" s="14"/>
      <c r="D175" s="14"/>
      <c r="E175" s="14"/>
      <c r="F175" s="14"/>
      <c r="G175" s="14"/>
      <c r="H175" s="14"/>
      <c r="I175" s="14"/>
    </row>
    <row r="176" spans="1:9" x14ac:dyDescent="0.2">
      <c r="A176" s="14"/>
      <c r="B176" s="14"/>
      <c r="C176" s="14"/>
      <c r="D176" s="14"/>
      <c r="E176" s="14"/>
      <c r="F176" s="14"/>
      <c r="G176" s="14"/>
      <c r="H176" s="14"/>
      <c r="I176" s="14"/>
    </row>
    <row r="177" spans="1:9" x14ac:dyDescent="0.2">
      <c r="A177" s="14"/>
      <c r="B177" s="14"/>
      <c r="C177" s="14"/>
      <c r="D177" s="14"/>
      <c r="E177" s="14"/>
      <c r="F177" s="14"/>
      <c r="G177" s="14"/>
      <c r="H177" s="14"/>
      <c r="I177" s="14"/>
    </row>
    <row r="178" spans="1:9" x14ac:dyDescent="0.2">
      <c r="A178" s="14"/>
      <c r="B178" s="14"/>
      <c r="C178" s="14"/>
      <c r="D178" s="14"/>
      <c r="E178" s="14"/>
      <c r="F178" s="14"/>
      <c r="G178" s="14"/>
      <c r="H178" s="14"/>
      <c r="I178" s="14"/>
    </row>
    <row r="179" spans="1:9" x14ac:dyDescent="0.2">
      <c r="A179" s="14"/>
      <c r="B179" s="14"/>
      <c r="C179" s="14"/>
      <c r="D179" s="14"/>
      <c r="E179" s="14"/>
      <c r="F179" s="14"/>
      <c r="G179" s="14"/>
      <c r="H179" s="14"/>
      <c r="I179" s="14"/>
    </row>
    <row r="180" spans="1:9" x14ac:dyDescent="0.2">
      <c r="A180" s="14"/>
      <c r="B180" s="14"/>
      <c r="C180" s="14"/>
      <c r="D180" s="14"/>
      <c r="E180" s="14"/>
      <c r="F180" s="14"/>
      <c r="G180" s="14"/>
      <c r="H180" s="14"/>
      <c r="I180" s="14"/>
    </row>
    <row r="181" spans="1:9" x14ac:dyDescent="0.2">
      <c r="A181" s="14"/>
      <c r="B181" s="14"/>
      <c r="C181" s="14"/>
      <c r="D181" s="14"/>
      <c r="E181" s="14"/>
      <c r="F181" s="14"/>
      <c r="G181" s="14"/>
      <c r="H181" s="14"/>
      <c r="I181" s="14"/>
    </row>
    <row r="182" spans="1:9" x14ac:dyDescent="0.2">
      <c r="A182" s="14"/>
      <c r="B182" s="14"/>
      <c r="C182" s="14"/>
      <c r="D182" s="14"/>
      <c r="E182" s="14"/>
      <c r="F182" s="14"/>
      <c r="G182" s="14"/>
      <c r="H182" s="14"/>
      <c r="I182" s="14"/>
    </row>
    <row r="183" spans="1:9" x14ac:dyDescent="0.2">
      <c r="A183" s="14"/>
      <c r="B183" s="14"/>
      <c r="C183" s="14"/>
      <c r="D183" s="14"/>
      <c r="E183" s="14"/>
      <c r="F183" s="14"/>
      <c r="G183" s="14"/>
      <c r="H183" s="14"/>
      <c r="I183" s="14"/>
    </row>
    <row r="184" spans="1:9" x14ac:dyDescent="0.2">
      <c r="A184" s="14"/>
      <c r="B184" s="14"/>
      <c r="C184" s="14"/>
      <c r="D184" s="14"/>
      <c r="E184" s="14"/>
      <c r="F184" s="14"/>
      <c r="G184" s="14"/>
      <c r="H184" s="14"/>
      <c r="I184" s="14"/>
    </row>
    <row r="185" spans="1:9" x14ac:dyDescent="0.2">
      <c r="A185" s="14"/>
      <c r="B185" s="14"/>
      <c r="C185" s="14"/>
      <c r="D185" s="14"/>
      <c r="E185" s="14"/>
      <c r="F185" s="14"/>
      <c r="G185" s="14"/>
      <c r="H185" s="14"/>
      <c r="I185" s="14"/>
    </row>
    <row r="186" spans="1:9" x14ac:dyDescent="0.2">
      <c r="A186" s="14"/>
      <c r="B186" s="14"/>
      <c r="C186" s="14"/>
      <c r="D186" s="14"/>
      <c r="E186" s="14"/>
      <c r="F186" s="14"/>
      <c r="G186" s="14"/>
      <c r="H186" s="14"/>
      <c r="I186" s="14"/>
    </row>
    <row r="187" spans="1:9" x14ac:dyDescent="0.2">
      <c r="A187" s="14"/>
      <c r="B187" s="14"/>
      <c r="C187" s="14"/>
      <c r="D187" s="14"/>
      <c r="E187" s="14"/>
      <c r="F187" s="14"/>
      <c r="G187" s="14"/>
      <c r="H187" s="14"/>
      <c r="I187" s="14"/>
    </row>
    <row r="188" spans="1:9" x14ac:dyDescent="0.2">
      <c r="A188" s="14"/>
      <c r="B188" s="14"/>
      <c r="C188" s="14"/>
      <c r="D188" s="14"/>
      <c r="E188" s="14"/>
      <c r="F188" s="14"/>
      <c r="G188" s="14"/>
      <c r="H188" s="14"/>
      <c r="I188" s="14"/>
    </row>
    <row r="189" spans="1:9" x14ac:dyDescent="0.2">
      <c r="A189" s="14"/>
      <c r="B189" s="14"/>
      <c r="C189" s="14"/>
      <c r="D189" s="14"/>
      <c r="E189" s="14"/>
      <c r="F189" s="14"/>
      <c r="G189" s="14"/>
      <c r="H189" s="14"/>
      <c r="I189" s="14"/>
    </row>
    <row r="190" spans="1:9" x14ac:dyDescent="0.2">
      <c r="A190" s="14"/>
      <c r="B190" s="14"/>
      <c r="C190" s="14"/>
      <c r="D190" s="14"/>
      <c r="E190" s="14"/>
      <c r="F190" s="14"/>
      <c r="G190" s="14"/>
      <c r="H190" s="14"/>
      <c r="I190" s="14"/>
    </row>
    <row r="191" spans="1:9" x14ac:dyDescent="0.2">
      <c r="A191" s="14"/>
      <c r="B191" s="14"/>
      <c r="C191" s="14"/>
      <c r="D191" s="14"/>
      <c r="E191" s="14"/>
      <c r="F191" s="14"/>
      <c r="G191" s="14"/>
      <c r="H191" s="14"/>
      <c r="I191" s="14"/>
    </row>
    <row r="192" spans="1:9" x14ac:dyDescent="0.2">
      <c r="A192" s="14"/>
      <c r="B192" s="14"/>
      <c r="C192" s="14"/>
      <c r="D192" s="14"/>
      <c r="E192" s="14"/>
      <c r="F192" s="14"/>
      <c r="G192" s="14"/>
      <c r="H192" s="14"/>
      <c r="I192" s="14"/>
    </row>
    <row r="193" spans="1:9" x14ac:dyDescent="0.2">
      <c r="A193" s="14"/>
      <c r="B193" s="14"/>
      <c r="C193" s="14"/>
      <c r="D193" s="14"/>
      <c r="E193" s="14"/>
      <c r="F193" s="14"/>
      <c r="G193" s="14"/>
      <c r="H193" s="14"/>
      <c r="I193" s="14"/>
    </row>
    <row r="194" spans="1:9" x14ac:dyDescent="0.2">
      <c r="A194" s="14"/>
      <c r="B194" s="14"/>
      <c r="C194" s="14"/>
      <c r="D194" s="14"/>
      <c r="E194" s="14"/>
      <c r="F194" s="14"/>
      <c r="G194" s="14"/>
      <c r="H194" s="14"/>
      <c r="I194" s="14"/>
    </row>
    <row r="195" spans="1:9" x14ac:dyDescent="0.2">
      <c r="A195" s="14"/>
      <c r="B195" s="14"/>
      <c r="C195" s="14"/>
      <c r="D195" s="14"/>
      <c r="E195" s="14"/>
      <c r="F195" s="14"/>
      <c r="G195" s="14"/>
      <c r="H195" s="14"/>
      <c r="I195" s="14"/>
    </row>
    <row r="196" spans="1:9" x14ac:dyDescent="0.2">
      <c r="A196" s="14"/>
      <c r="B196" s="14"/>
      <c r="C196" s="14"/>
      <c r="D196" s="14"/>
      <c r="E196" s="14"/>
      <c r="F196" s="14"/>
      <c r="G196" s="14"/>
      <c r="H196" s="14"/>
      <c r="I196" s="14"/>
    </row>
    <row r="197" spans="1:9" x14ac:dyDescent="0.2">
      <c r="A197" s="14"/>
      <c r="B197" s="14"/>
      <c r="C197" s="14"/>
      <c r="D197" s="14"/>
      <c r="E197" s="14"/>
      <c r="F197" s="14"/>
      <c r="G197" s="14"/>
      <c r="H197" s="14"/>
      <c r="I197" s="14"/>
    </row>
    <row r="198" spans="1:9" x14ac:dyDescent="0.2">
      <c r="A198" s="14"/>
      <c r="B198" s="14"/>
      <c r="C198" s="14"/>
      <c r="D198" s="14"/>
      <c r="E198" s="14"/>
      <c r="F198" s="14"/>
      <c r="G198" s="14"/>
      <c r="H198" s="14"/>
      <c r="I198" s="14"/>
    </row>
    <row r="199" spans="1:9" x14ac:dyDescent="0.2">
      <c r="A199" s="14"/>
      <c r="B199" s="14"/>
      <c r="C199" s="14"/>
      <c r="D199" s="14"/>
      <c r="E199" s="14"/>
      <c r="F199" s="14"/>
      <c r="G199" s="14"/>
      <c r="H199" s="14"/>
      <c r="I199" s="14"/>
    </row>
    <row r="200" spans="1:9" x14ac:dyDescent="0.2">
      <c r="A200" s="14"/>
      <c r="B200" s="14"/>
      <c r="C200" s="14"/>
      <c r="D200" s="14"/>
      <c r="E200" s="14"/>
      <c r="F200" s="14"/>
      <c r="G200" s="14"/>
      <c r="H200" s="14"/>
      <c r="I200" s="14"/>
    </row>
    <row r="201" spans="1:9" x14ac:dyDescent="0.2">
      <c r="A201" s="14"/>
      <c r="B201" s="14"/>
      <c r="C201" s="14"/>
      <c r="D201" s="14"/>
      <c r="E201" s="14"/>
      <c r="F201" s="14"/>
      <c r="G201" s="14"/>
      <c r="H201" s="14"/>
      <c r="I201" s="14"/>
    </row>
    <row r="202" spans="1:9" x14ac:dyDescent="0.2">
      <c r="A202" s="14"/>
      <c r="B202" s="14"/>
      <c r="C202" s="14"/>
      <c r="D202" s="14"/>
      <c r="E202" s="14"/>
      <c r="F202" s="14"/>
      <c r="G202" s="14"/>
      <c r="H202" s="14"/>
      <c r="I202" s="14"/>
    </row>
    <row r="203" spans="1:9" x14ac:dyDescent="0.2">
      <c r="A203" s="14"/>
      <c r="B203" s="14"/>
      <c r="C203" s="14"/>
      <c r="D203" s="14"/>
      <c r="E203" s="14"/>
      <c r="F203" s="14"/>
      <c r="G203" s="14"/>
      <c r="H203" s="14"/>
      <c r="I203" s="14"/>
    </row>
    <row r="204" spans="1:9" x14ac:dyDescent="0.2">
      <c r="A204" s="14"/>
      <c r="B204" s="14"/>
      <c r="C204" s="14"/>
      <c r="D204" s="14"/>
      <c r="E204" s="14"/>
      <c r="F204" s="14"/>
      <c r="G204" s="14"/>
      <c r="H204" s="14"/>
      <c r="I204" s="14"/>
    </row>
    <row r="205" spans="1:9" x14ac:dyDescent="0.2">
      <c r="A205" s="14"/>
      <c r="B205" s="14"/>
      <c r="C205" s="14"/>
      <c r="D205" s="14"/>
      <c r="E205" s="14"/>
      <c r="F205" s="14"/>
      <c r="G205" s="14"/>
      <c r="H205" s="14"/>
      <c r="I205" s="14"/>
    </row>
    <row r="206" spans="1:9" x14ac:dyDescent="0.2">
      <c r="A206" s="14"/>
      <c r="B206" s="14"/>
      <c r="C206" s="14"/>
      <c r="D206" s="14"/>
      <c r="E206" s="14"/>
      <c r="F206" s="14"/>
      <c r="G206" s="14"/>
      <c r="H206" s="14"/>
      <c r="I206" s="14"/>
    </row>
    <row r="207" spans="1:9" x14ac:dyDescent="0.2">
      <c r="A207" s="14"/>
      <c r="B207" s="14"/>
      <c r="C207" s="14"/>
      <c r="D207" s="14"/>
      <c r="E207" s="14"/>
      <c r="F207" s="14"/>
      <c r="G207" s="14"/>
      <c r="H207" s="14"/>
      <c r="I207" s="14"/>
    </row>
    <row r="208" spans="1:9" x14ac:dyDescent="0.2">
      <c r="A208" s="14"/>
      <c r="B208" s="14"/>
      <c r="C208" s="14"/>
      <c r="D208" s="14"/>
      <c r="E208" s="14"/>
      <c r="F208" s="14"/>
      <c r="G208" s="14"/>
      <c r="H208" s="14"/>
      <c r="I208" s="14"/>
    </row>
    <row r="209" spans="1:9" x14ac:dyDescent="0.2">
      <c r="A209" s="14"/>
      <c r="B209" s="14"/>
      <c r="C209" s="14"/>
      <c r="D209" s="14"/>
      <c r="E209" s="14"/>
      <c r="F209" s="14"/>
      <c r="G209" s="14"/>
      <c r="H209" s="14"/>
      <c r="I209" s="14"/>
    </row>
    <row r="210" spans="1:9" x14ac:dyDescent="0.2">
      <c r="A210" s="14"/>
      <c r="B210" s="14"/>
      <c r="C210" s="14"/>
      <c r="D210" s="14"/>
      <c r="E210" s="14"/>
      <c r="F210" s="14"/>
      <c r="G210" s="14"/>
      <c r="H210" s="14"/>
      <c r="I210" s="14"/>
    </row>
    <row r="211" spans="1:9" x14ac:dyDescent="0.2">
      <c r="A211" s="14"/>
      <c r="B211" s="14"/>
      <c r="C211" s="14"/>
      <c r="D211" s="14"/>
      <c r="E211" s="14"/>
      <c r="F211" s="14"/>
      <c r="G211" s="14"/>
      <c r="H211" s="14"/>
      <c r="I211" s="14"/>
    </row>
    <row r="212" spans="1:9" x14ac:dyDescent="0.2">
      <c r="A212" s="14"/>
      <c r="B212" s="14"/>
      <c r="C212" s="14"/>
      <c r="D212" s="14"/>
      <c r="E212" s="14"/>
      <c r="F212" s="14"/>
      <c r="G212" s="14"/>
      <c r="H212" s="14"/>
      <c r="I212" s="14"/>
    </row>
    <row r="213" spans="1:9" x14ac:dyDescent="0.2">
      <c r="A213" s="14"/>
      <c r="B213" s="14"/>
      <c r="C213" s="14"/>
      <c r="D213" s="14"/>
      <c r="E213" s="14"/>
      <c r="F213" s="14"/>
      <c r="G213" s="14"/>
      <c r="H213" s="14"/>
      <c r="I213" s="14"/>
    </row>
    <row r="214" spans="1:9" x14ac:dyDescent="0.2">
      <c r="A214" s="14"/>
      <c r="B214" s="14"/>
      <c r="C214" s="14"/>
      <c r="D214" s="14"/>
      <c r="E214" s="14"/>
      <c r="F214" s="14"/>
      <c r="G214" s="14"/>
      <c r="H214" s="14"/>
      <c r="I214" s="14"/>
    </row>
    <row r="215" spans="1:9" x14ac:dyDescent="0.2">
      <c r="A215" s="14"/>
      <c r="B215" s="14"/>
      <c r="C215" s="14"/>
      <c r="D215" s="14"/>
      <c r="E215" s="14"/>
      <c r="F215" s="14"/>
      <c r="G215" s="14"/>
      <c r="H215" s="14"/>
      <c r="I215" s="14"/>
    </row>
    <row r="216" spans="1:9" x14ac:dyDescent="0.2">
      <c r="A216" s="14"/>
      <c r="B216" s="14"/>
      <c r="C216" s="14"/>
      <c r="D216" s="14"/>
      <c r="E216" s="14"/>
      <c r="F216" s="14"/>
      <c r="G216" s="14"/>
      <c r="H216" s="14"/>
      <c r="I216" s="14"/>
    </row>
    <row r="217" spans="1:9" x14ac:dyDescent="0.2">
      <c r="A217" s="14"/>
      <c r="B217" s="14"/>
      <c r="C217" s="14"/>
      <c r="D217" s="14"/>
      <c r="E217" s="14"/>
      <c r="F217" s="14"/>
      <c r="G217" s="14"/>
      <c r="H217" s="14"/>
      <c r="I217" s="14"/>
    </row>
    <row r="218" spans="1:9" x14ac:dyDescent="0.2">
      <c r="A218" s="14"/>
      <c r="B218" s="14"/>
      <c r="C218" s="14"/>
      <c r="D218" s="14"/>
      <c r="E218" s="14"/>
      <c r="F218" s="14"/>
      <c r="G218" s="14"/>
      <c r="H218" s="14"/>
      <c r="I218" s="14"/>
    </row>
    <row r="219" spans="1:9" x14ac:dyDescent="0.2">
      <c r="A219" s="14"/>
      <c r="B219" s="14"/>
      <c r="C219" s="14"/>
      <c r="D219" s="14"/>
      <c r="E219" s="14"/>
      <c r="F219" s="14"/>
      <c r="G219" s="14"/>
      <c r="H219" s="14"/>
      <c r="I219" s="14"/>
    </row>
    <row r="220" spans="1:9" x14ac:dyDescent="0.2">
      <c r="A220" s="14"/>
      <c r="B220" s="14"/>
      <c r="C220" s="14"/>
      <c r="D220" s="14"/>
      <c r="E220" s="14"/>
      <c r="F220" s="14"/>
      <c r="G220" s="14"/>
      <c r="H220" s="14"/>
      <c r="I220" s="14"/>
    </row>
    <row r="221" spans="1:9" x14ac:dyDescent="0.2">
      <c r="A221" s="14"/>
      <c r="B221" s="14"/>
      <c r="C221" s="14"/>
      <c r="D221" s="14"/>
      <c r="E221" s="14"/>
      <c r="F221" s="14"/>
      <c r="G221" s="14"/>
      <c r="H221" s="14"/>
      <c r="I221" s="14"/>
    </row>
    <row r="222" spans="1:9" x14ac:dyDescent="0.2">
      <c r="A222" s="14"/>
      <c r="B222" s="14"/>
      <c r="C222" s="14"/>
      <c r="D222" s="14"/>
      <c r="E222" s="14"/>
      <c r="F222" s="14"/>
      <c r="G222" s="14"/>
      <c r="H222" s="14"/>
      <c r="I222" s="14"/>
    </row>
    <row r="223" spans="1:9" x14ac:dyDescent="0.2">
      <c r="A223" s="14"/>
      <c r="B223" s="14"/>
      <c r="C223" s="14"/>
      <c r="D223" s="14"/>
      <c r="E223" s="14"/>
      <c r="F223" s="14"/>
      <c r="G223" s="14"/>
      <c r="H223" s="14"/>
      <c r="I223" s="14"/>
    </row>
    <row r="224" spans="1:9" x14ac:dyDescent="0.2">
      <c r="A224" s="14"/>
      <c r="B224" s="14"/>
      <c r="C224" s="14"/>
      <c r="D224" s="14"/>
      <c r="E224" s="14"/>
      <c r="F224" s="14"/>
      <c r="G224" s="14"/>
      <c r="H224" s="14"/>
      <c r="I224" s="14"/>
    </row>
    <row r="225" spans="1:9" x14ac:dyDescent="0.2">
      <c r="A225" s="14"/>
      <c r="B225" s="14"/>
      <c r="C225" s="14"/>
      <c r="D225" s="14"/>
      <c r="E225" s="14"/>
      <c r="F225" s="14"/>
      <c r="G225" s="14"/>
      <c r="H225" s="14"/>
      <c r="I225" s="14"/>
    </row>
    <row r="226" spans="1:9" x14ac:dyDescent="0.2">
      <c r="A226" s="14"/>
      <c r="B226" s="14"/>
      <c r="C226" s="14"/>
      <c r="D226" s="14"/>
      <c r="E226" s="14"/>
      <c r="F226" s="14"/>
      <c r="G226" s="14"/>
      <c r="H226" s="14"/>
      <c r="I226" s="14"/>
    </row>
    <row r="227" spans="1:9" x14ac:dyDescent="0.2">
      <c r="A227" s="14"/>
      <c r="B227" s="14"/>
      <c r="C227" s="14"/>
      <c r="D227" s="14"/>
      <c r="E227" s="14"/>
      <c r="F227" s="14"/>
      <c r="G227" s="14"/>
      <c r="H227" s="14"/>
      <c r="I227" s="14"/>
    </row>
    <row r="228" spans="1:9" x14ac:dyDescent="0.2">
      <c r="A228" s="14"/>
      <c r="B228" s="14"/>
      <c r="C228" s="14"/>
      <c r="D228" s="14"/>
      <c r="E228" s="14"/>
      <c r="F228" s="14"/>
      <c r="G228" s="14"/>
      <c r="H228" s="14"/>
      <c r="I228" s="14"/>
    </row>
    <row r="229" spans="1:9" x14ac:dyDescent="0.2">
      <c r="A229" s="14"/>
      <c r="B229" s="14"/>
      <c r="C229" s="14"/>
      <c r="D229" s="14"/>
      <c r="E229" s="14"/>
      <c r="F229" s="14"/>
      <c r="G229" s="14"/>
      <c r="H229" s="14"/>
      <c r="I229" s="14"/>
    </row>
    <row r="230" spans="1:9" x14ac:dyDescent="0.2">
      <c r="A230" s="14"/>
      <c r="B230" s="14"/>
      <c r="C230" s="14"/>
      <c r="D230" s="14"/>
      <c r="E230" s="14"/>
      <c r="F230" s="14"/>
      <c r="G230" s="14"/>
      <c r="H230" s="14"/>
      <c r="I230" s="14"/>
    </row>
    <row r="231" spans="1:9" x14ac:dyDescent="0.2">
      <c r="A231" s="14"/>
      <c r="B231" s="14"/>
      <c r="C231" s="14"/>
      <c r="D231" s="14"/>
      <c r="E231" s="14"/>
      <c r="F231" s="14"/>
      <c r="G231" s="14"/>
      <c r="H231" s="14"/>
      <c r="I231" s="14"/>
    </row>
    <row r="232" spans="1:9" x14ac:dyDescent="0.2">
      <c r="A232" s="14"/>
      <c r="B232" s="14"/>
      <c r="C232" s="14"/>
      <c r="D232" s="14"/>
      <c r="E232" s="14"/>
      <c r="F232" s="14"/>
      <c r="G232" s="14"/>
      <c r="H232" s="14"/>
      <c r="I232" s="14"/>
    </row>
    <row r="233" spans="1:9" x14ac:dyDescent="0.2">
      <c r="A233" s="14"/>
      <c r="B233" s="14"/>
      <c r="C233" s="14"/>
      <c r="D233" s="14"/>
      <c r="E233" s="14"/>
      <c r="F233" s="14"/>
      <c r="G233" s="14"/>
      <c r="H233" s="14"/>
      <c r="I233" s="14"/>
    </row>
    <row r="234" spans="1:9" x14ac:dyDescent="0.2">
      <c r="A234" s="14"/>
      <c r="B234" s="14"/>
      <c r="C234" s="14"/>
      <c r="D234" s="14"/>
      <c r="E234" s="14"/>
      <c r="F234" s="14"/>
      <c r="G234" s="14"/>
      <c r="H234" s="14"/>
      <c r="I234" s="14"/>
    </row>
    <row r="235" spans="1:9" x14ac:dyDescent="0.2">
      <c r="A235" s="14"/>
      <c r="B235" s="14"/>
      <c r="C235" s="14"/>
      <c r="D235" s="14"/>
      <c r="E235" s="14"/>
      <c r="F235" s="14"/>
      <c r="G235" s="14"/>
      <c r="H235" s="14"/>
      <c r="I235" s="14"/>
    </row>
    <row r="236" spans="1:9" x14ac:dyDescent="0.2">
      <c r="A236" s="14"/>
      <c r="B236" s="14"/>
      <c r="C236" s="14"/>
      <c r="D236" s="14"/>
      <c r="E236" s="14"/>
      <c r="F236" s="14"/>
      <c r="G236" s="14"/>
      <c r="H236" s="14"/>
      <c r="I236" s="14"/>
    </row>
    <row r="237" spans="1:9" x14ac:dyDescent="0.2">
      <c r="A237" s="14"/>
      <c r="B237" s="14"/>
      <c r="C237" s="14"/>
      <c r="D237" s="14"/>
      <c r="E237" s="14"/>
      <c r="F237" s="14"/>
      <c r="G237" s="14"/>
      <c r="H237" s="14"/>
      <c r="I237" s="14"/>
    </row>
    <row r="238" spans="1:9" x14ac:dyDescent="0.2">
      <c r="A238" s="14"/>
      <c r="B238" s="14"/>
      <c r="C238" s="14"/>
      <c r="D238" s="14"/>
      <c r="E238" s="14"/>
      <c r="F238" s="14"/>
      <c r="G238" s="14"/>
      <c r="H238" s="14"/>
      <c r="I238" s="14"/>
    </row>
    <row r="239" spans="1:9" x14ac:dyDescent="0.2">
      <c r="A239" s="14"/>
      <c r="B239" s="14"/>
      <c r="C239" s="14"/>
      <c r="D239" s="14"/>
      <c r="E239" s="14"/>
      <c r="F239" s="14"/>
      <c r="G239" s="14"/>
      <c r="H239" s="14"/>
      <c r="I239" s="14"/>
    </row>
    <row r="240" spans="1:9" x14ac:dyDescent="0.2">
      <c r="A240" s="14"/>
      <c r="B240" s="14"/>
      <c r="C240" s="14"/>
      <c r="D240" s="14"/>
      <c r="E240" s="14"/>
      <c r="F240" s="14"/>
      <c r="G240" s="14"/>
      <c r="H240" s="14"/>
      <c r="I240" s="14"/>
    </row>
    <row r="241" spans="1:9" x14ac:dyDescent="0.2">
      <c r="A241" s="14"/>
      <c r="B241" s="14"/>
      <c r="C241" s="14"/>
      <c r="D241" s="14"/>
      <c r="E241" s="14"/>
      <c r="F241" s="14"/>
      <c r="G241" s="14"/>
      <c r="H241" s="14"/>
      <c r="I241" s="14"/>
    </row>
    <row r="242" spans="1:9" x14ac:dyDescent="0.2">
      <c r="A242" s="14"/>
      <c r="B242" s="14"/>
      <c r="C242" s="14"/>
      <c r="D242" s="14"/>
      <c r="E242" s="14"/>
      <c r="F242" s="14"/>
      <c r="G242" s="14"/>
      <c r="H242" s="14"/>
      <c r="I242" s="14"/>
    </row>
    <row r="243" spans="1:9" x14ac:dyDescent="0.2">
      <c r="A243" s="14"/>
      <c r="B243" s="14"/>
      <c r="C243" s="14"/>
      <c r="D243" s="14"/>
      <c r="E243" s="14"/>
      <c r="F243" s="14"/>
      <c r="G243" s="14"/>
      <c r="H243" s="14"/>
      <c r="I243" s="14"/>
    </row>
    <row r="244" spans="1:9" x14ac:dyDescent="0.2">
      <c r="A244" s="14"/>
      <c r="B244" s="14"/>
      <c r="C244" s="14"/>
      <c r="D244" s="14"/>
      <c r="E244" s="14"/>
      <c r="F244" s="14"/>
      <c r="G244" s="14"/>
      <c r="H244" s="14"/>
      <c r="I244" s="14"/>
    </row>
    <row r="245" spans="1:9" x14ac:dyDescent="0.2">
      <c r="A245" s="14"/>
      <c r="B245" s="14"/>
      <c r="C245" s="14"/>
      <c r="D245" s="14"/>
      <c r="E245" s="14"/>
      <c r="F245" s="14"/>
      <c r="G245" s="14"/>
      <c r="H245" s="14"/>
      <c r="I245" s="14"/>
    </row>
    <row r="246" spans="1:9" x14ac:dyDescent="0.2">
      <c r="A246" s="14"/>
      <c r="B246" s="14"/>
      <c r="C246" s="14"/>
      <c r="D246" s="14"/>
      <c r="E246" s="14"/>
      <c r="F246" s="14"/>
      <c r="G246" s="14"/>
      <c r="H246" s="14"/>
      <c r="I246" s="14"/>
    </row>
    <row r="247" spans="1:9" x14ac:dyDescent="0.2">
      <c r="A247" s="14"/>
      <c r="B247" s="14"/>
      <c r="C247" s="14"/>
      <c r="D247" s="14"/>
      <c r="E247" s="14"/>
      <c r="F247" s="14"/>
      <c r="G247" s="14"/>
      <c r="H247" s="14"/>
      <c r="I247" s="14"/>
    </row>
    <row r="248" spans="1:9" x14ac:dyDescent="0.2">
      <c r="A248" s="14"/>
      <c r="B248" s="14"/>
      <c r="C248" s="14"/>
      <c r="D248" s="14"/>
      <c r="E248" s="14"/>
      <c r="F248" s="14"/>
      <c r="G248" s="14"/>
      <c r="H248" s="14"/>
      <c r="I248" s="14"/>
    </row>
    <row r="249" spans="1:9" x14ac:dyDescent="0.2">
      <c r="A249" s="14"/>
      <c r="B249" s="14"/>
      <c r="C249" s="14"/>
      <c r="D249" s="14"/>
      <c r="E249" s="14"/>
      <c r="F249" s="14"/>
      <c r="G249" s="14"/>
      <c r="H249" s="14"/>
      <c r="I249" s="14"/>
    </row>
    <row r="250" spans="1:9" x14ac:dyDescent="0.2">
      <c r="A250" s="14"/>
      <c r="B250" s="14"/>
      <c r="C250" s="14"/>
      <c r="D250" s="14"/>
      <c r="E250" s="14"/>
      <c r="F250" s="14"/>
      <c r="G250" s="14"/>
      <c r="H250" s="14"/>
      <c r="I250" s="14"/>
    </row>
    <row r="251" spans="1:9" x14ac:dyDescent="0.2">
      <c r="A251" s="14"/>
      <c r="B251" s="14"/>
      <c r="C251" s="14"/>
      <c r="D251" s="14"/>
      <c r="E251" s="14"/>
      <c r="F251" s="14"/>
      <c r="G251" s="14"/>
      <c r="H251" s="14"/>
      <c r="I251" s="14"/>
    </row>
    <row r="252" spans="1:9" x14ac:dyDescent="0.2">
      <c r="A252" s="14"/>
      <c r="B252" s="14"/>
      <c r="C252" s="14"/>
      <c r="D252" s="14"/>
      <c r="E252" s="14"/>
      <c r="F252" s="14"/>
      <c r="G252" s="14"/>
      <c r="H252" s="14"/>
      <c r="I252" s="14"/>
    </row>
    <row r="253" spans="1:9" x14ac:dyDescent="0.2">
      <c r="A253" s="14"/>
      <c r="B253" s="14"/>
      <c r="C253" s="14"/>
      <c r="D253" s="14"/>
      <c r="E253" s="14"/>
      <c r="F253" s="14"/>
      <c r="G253" s="14"/>
      <c r="H253" s="14"/>
      <c r="I253" s="14"/>
    </row>
    <row r="254" spans="1:9" x14ac:dyDescent="0.2">
      <c r="A254" s="14"/>
      <c r="B254" s="14"/>
      <c r="C254" s="14"/>
      <c r="D254" s="14"/>
      <c r="E254" s="14"/>
      <c r="F254" s="14"/>
      <c r="G254" s="14"/>
      <c r="H254" s="14"/>
      <c r="I254" s="14"/>
    </row>
    <row r="255" spans="1:9" x14ac:dyDescent="0.2">
      <c r="A255" s="14"/>
      <c r="B255" s="14"/>
      <c r="C255" s="14"/>
      <c r="D255" s="14"/>
      <c r="E255" s="14"/>
      <c r="F255" s="14"/>
      <c r="G255" s="14"/>
      <c r="H255" s="14"/>
      <c r="I255" s="14"/>
    </row>
    <row r="256" spans="1:9" x14ac:dyDescent="0.2">
      <c r="A256" s="14"/>
      <c r="B256" s="14"/>
      <c r="C256" s="14"/>
      <c r="D256" s="14"/>
      <c r="E256" s="14"/>
      <c r="F256" s="14"/>
      <c r="G256" s="14"/>
      <c r="H256" s="14"/>
      <c r="I256" s="14"/>
    </row>
    <row r="257" spans="1:9" x14ac:dyDescent="0.2">
      <c r="A257" s="14"/>
      <c r="B257" s="14"/>
      <c r="C257" s="14"/>
      <c r="D257" s="14"/>
      <c r="E257" s="14"/>
      <c r="F257" s="14"/>
      <c r="G257" s="14"/>
      <c r="H257" s="14"/>
      <c r="I257" s="14"/>
    </row>
    <row r="258" spans="1:9" x14ac:dyDescent="0.2">
      <c r="A258" s="14"/>
      <c r="B258" s="14"/>
      <c r="C258" s="14"/>
      <c r="D258" s="14"/>
      <c r="E258" s="14"/>
      <c r="F258" s="14"/>
      <c r="G258" s="14"/>
      <c r="H258" s="14"/>
      <c r="I258" s="14"/>
    </row>
    <row r="259" spans="1:9" x14ac:dyDescent="0.2">
      <c r="A259" s="14"/>
      <c r="B259" s="14"/>
      <c r="C259" s="14"/>
      <c r="D259" s="14"/>
      <c r="E259" s="14"/>
      <c r="F259" s="14"/>
      <c r="G259" s="14"/>
      <c r="H259" s="14"/>
      <c r="I259" s="14"/>
    </row>
    <row r="260" spans="1:9" x14ac:dyDescent="0.2">
      <c r="A260" s="14"/>
      <c r="B260" s="14"/>
      <c r="C260" s="14"/>
      <c r="D260" s="14"/>
      <c r="E260" s="14"/>
      <c r="F260" s="14"/>
      <c r="G260" s="14"/>
      <c r="H260" s="14"/>
      <c r="I260" s="14"/>
    </row>
    <row r="261" spans="1:9" x14ac:dyDescent="0.2">
      <c r="A261" s="14"/>
      <c r="B261" s="14"/>
      <c r="C261" s="14"/>
      <c r="D261" s="14"/>
      <c r="E261" s="14"/>
      <c r="F261" s="14"/>
      <c r="G261" s="14"/>
      <c r="H261" s="14"/>
      <c r="I261" s="14"/>
    </row>
    <row r="262" spans="1:9" x14ac:dyDescent="0.2">
      <c r="A262" s="14"/>
      <c r="B262" s="14"/>
      <c r="C262" s="14"/>
      <c r="D262" s="14"/>
      <c r="E262" s="14"/>
      <c r="F262" s="14"/>
      <c r="G262" s="14"/>
      <c r="H262" s="14"/>
      <c r="I262" s="14"/>
    </row>
    <row r="263" spans="1:9" x14ac:dyDescent="0.2">
      <c r="A263" s="14"/>
      <c r="B263" s="14"/>
      <c r="C263" s="14"/>
      <c r="D263" s="14"/>
      <c r="E263" s="14"/>
      <c r="F263" s="14"/>
      <c r="G263" s="14"/>
      <c r="H263" s="14"/>
      <c r="I263" s="14"/>
    </row>
    <row r="264" spans="1:9" x14ac:dyDescent="0.2">
      <c r="A264" s="14"/>
      <c r="B264" s="14"/>
      <c r="C264" s="14"/>
      <c r="D264" s="14"/>
      <c r="E264" s="14"/>
      <c r="F264" s="14"/>
      <c r="G264" s="14"/>
      <c r="H264" s="14"/>
      <c r="I264" s="14"/>
    </row>
    <row r="265" spans="1:9" x14ac:dyDescent="0.2">
      <c r="A265" s="14"/>
      <c r="B265" s="14"/>
      <c r="C265" s="14"/>
      <c r="D265" s="14"/>
      <c r="E265" s="14"/>
      <c r="F265" s="14"/>
      <c r="G265" s="14"/>
      <c r="H265" s="14"/>
      <c r="I265" s="14"/>
    </row>
    <row r="266" spans="1:9" x14ac:dyDescent="0.2">
      <c r="A266" s="14"/>
      <c r="B266" s="14"/>
      <c r="C266" s="14"/>
      <c r="D266" s="14"/>
      <c r="E266" s="14"/>
      <c r="F266" s="14"/>
      <c r="G266" s="14"/>
      <c r="H266" s="14"/>
      <c r="I266" s="14"/>
    </row>
    <row r="267" spans="1:9" x14ac:dyDescent="0.2">
      <c r="A267" s="14"/>
      <c r="B267" s="14"/>
      <c r="C267" s="14"/>
      <c r="D267" s="14"/>
      <c r="E267" s="14"/>
      <c r="F267" s="14"/>
      <c r="G267" s="14"/>
      <c r="H267" s="14"/>
      <c r="I267" s="14"/>
    </row>
    <row r="268" spans="1:9" x14ac:dyDescent="0.2">
      <c r="A268" s="14"/>
      <c r="B268" s="14"/>
      <c r="C268" s="14"/>
      <c r="D268" s="14"/>
      <c r="E268" s="14"/>
      <c r="F268" s="14"/>
      <c r="G268" s="14"/>
      <c r="H268" s="14"/>
      <c r="I268" s="14"/>
    </row>
    <row r="269" spans="1:9" x14ac:dyDescent="0.2">
      <c r="A269" s="14"/>
      <c r="B269" s="14"/>
      <c r="C269" s="14"/>
      <c r="D269" s="14"/>
      <c r="E269" s="14"/>
      <c r="F269" s="14"/>
      <c r="G269" s="14"/>
      <c r="H269" s="14"/>
      <c r="I269" s="14"/>
    </row>
    <row r="270" spans="1:9" x14ac:dyDescent="0.2">
      <c r="A270" s="14"/>
      <c r="B270" s="14"/>
      <c r="C270" s="14"/>
      <c r="D270" s="14"/>
      <c r="E270" s="14"/>
      <c r="F270" s="14"/>
      <c r="G270" s="14"/>
      <c r="H270" s="14"/>
      <c r="I270" s="14"/>
    </row>
    <row r="271" spans="1:9" x14ac:dyDescent="0.2">
      <c r="A271" s="14"/>
      <c r="B271" s="14"/>
      <c r="C271" s="14"/>
      <c r="D271" s="14"/>
      <c r="E271" s="14"/>
      <c r="F271" s="14"/>
      <c r="G271" s="14"/>
      <c r="H271" s="14"/>
      <c r="I271" s="14"/>
    </row>
    <row r="272" spans="1:9" x14ac:dyDescent="0.2">
      <c r="A272" s="14"/>
      <c r="B272" s="14"/>
      <c r="C272" s="14"/>
      <c r="D272" s="14"/>
      <c r="E272" s="14"/>
      <c r="F272" s="14"/>
      <c r="G272" s="14"/>
      <c r="H272" s="14"/>
      <c r="I272" s="14"/>
    </row>
    <row r="273" spans="1:9" x14ac:dyDescent="0.2">
      <c r="A273" s="14"/>
      <c r="B273" s="14"/>
      <c r="C273" s="14"/>
      <c r="D273" s="14"/>
      <c r="E273" s="14"/>
      <c r="F273" s="14"/>
      <c r="G273" s="14"/>
      <c r="H273" s="14"/>
      <c r="I273" s="14"/>
    </row>
    <row r="274" spans="1:9" x14ac:dyDescent="0.2">
      <c r="A274" s="14"/>
      <c r="B274" s="14"/>
      <c r="C274" s="14"/>
      <c r="D274" s="14"/>
      <c r="E274" s="14"/>
      <c r="F274" s="14"/>
      <c r="G274" s="14"/>
      <c r="H274" s="14"/>
      <c r="I274" s="14"/>
    </row>
    <row r="275" spans="1:9" x14ac:dyDescent="0.2">
      <c r="A275" s="14"/>
      <c r="B275" s="14"/>
      <c r="C275" s="14"/>
      <c r="D275" s="14"/>
      <c r="E275" s="14"/>
      <c r="F275" s="14"/>
      <c r="G275" s="14"/>
      <c r="H275" s="14"/>
      <c r="I275" s="14"/>
    </row>
  </sheetData>
  <phoneticPr fontId="2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FE1C-1634-47E9-99A4-A4EA1EB5AC55}">
  <sheetPr codeName="Sheet7"/>
  <dimension ref="A1:M40"/>
  <sheetViews>
    <sheetView topLeftCell="A16" zoomScale="80" zoomScaleNormal="80" workbookViewId="0">
      <selection activeCell="F13" sqref="F13"/>
    </sheetView>
  </sheetViews>
  <sheetFormatPr defaultRowHeight="12.75" x14ac:dyDescent="0.2"/>
  <cols>
    <col min="1" max="1" width="14.5703125" customWidth="1"/>
    <col min="2" max="2" width="9.140625" style="3"/>
    <col min="3" max="3" width="11.85546875" customWidth="1"/>
    <col min="7" max="7" width="9.28515625" bestFit="1" customWidth="1"/>
  </cols>
  <sheetData>
    <row r="1" spans="1:13" x14ac:dyDescent="0.2">
      <c r="A1" s="63" t="s">
        <v>655</v>
      </c>
      <c r="B1" s="64"/>
      <c r="C1" s="64"/>
      <c r="D1" s="64"/>
      <c r="E1" s="64"/>
      <c r="F1" s="34"/>
      <c r="G1" s="34"/>
      <c r="H1" s="37"/>
    </row>
    <row r="2" spans="1:13" x14ac:dyDescent="0.2">
      <c r="A2" s="3"/>
      <c r="C2" s="3"/>
      <c r="D2" s="3"/>
      <c r="E2" s="3"/>
      <c r="F2" s="3"/>
    </row>
    <row r="3" spans="1:13" x14ac:dyDescent="0.2">
      <c r="A3" s="3"/>
      <c r="C3" s="3"/>
      <c r="D3" s="3"/>
      <c r="E3" s="3"/>
      <c r="F3" s="3"/>
    </row>
    <row r="4" spans="1:13" ht="13.5" thickBot="1" x14ac:dyDescent="0.25">
      <c r="A4" s="3"/>
      <c r="C4" s="3"/>
      <c r="D4" s="3"/>
      <c r="E4" s="3"/>
      <c r="F4" s="3"/>
    </row>
    <row r="5" spans="1:13" x14ac:dyDescent="0.2">
      <c r="A5" s="85" t="s">
        <v>688</v>
      </c>
      <c r="B5" s="86"/>
      <c r="C5" s="87"/>
      <c r="D5" s="87"/>
      <c r="E5" s="87"/>
      <c r="F5" s="86"/>
      <c r="G5" s="87"/>
      <c r="H5" s="87"/>
      <c r="I5" s="87"/>
      <c r="J5" s="87"/>
      <c r="K5" s="87"/>
      <c r="L5" s="87"/>
      <c r="M5" s="88"/>
    </row>
    <row r="6" spans="1:13" x14ac:dyDescent="0.2">
      <c r="A6" s="89" t="s">
        <v>682</v>
      </c>
      <c r="B6" s="45"/>
      <c r="C6" s="45" t="s">
        <v>683</v>
      </c>
      <c r="D6" s="50"/>
      <c r="E6" s="50"/>
      <c r="F6" s="90"/>
      <c r="G6" s="50"/>
      <c r="H6" s="50"/>
      <c r="I6" s="50"/>
      <c r="J6" s="50"/>
      <c r="K6" s="50"/>
      <c r="L6" s="50"/>
      <c r="M6" s="91"/>
    </row>
    <row r="7" spans="1:13" x14ac:dyDescent="0.2">
      <c r="A7" s="92" t="s">
        <v>693</v>
      </c>
      <c r="B7" s="50"/>
      <c r="C7" s="93" t="s">
        <v>694</v>
      </c>
      <c r="D7" s="50"/>
      <c r="E7" s="50"/>
      <c r="F7" s="90"/>
      <c r="G7" s="50"/>
      <c r="H7" s="50"/>
      <c r="I7" s="50"/>
      <c r="J7" s="50"/>
      <c r="K7" s="50"/>
      <c r="L7" s="50"/>
      <c r="M7" s="91"/>
    </row>
    <row r="8" spans="1:13" x14ac:dyDescent="0.2">
      <c r="A8" s="89" t="s">
        <v>692</v>
      </c>
      <c r="B8" s="45" t="s">
        <v>691</v>
      </c>
      <c r="C8" s="45" t="s">
        <v>689</v>
      </c>
      <c r="D8" s="45" t="s">
        <v>708</v>
      </c>
      <c r="E8" s="45" t="s">
        <v>690</v>
      </c>
      <c r="F8" s="90"/>
      <c r="G8" s="50"/>
      <c r="H8" s="50"/>
      <c r="I8" s="50"/>
      <c r="J8" s="50"/>
      <c r="K8" s="50"/>
      <c r="L8" s="50"/>
      <c r="M8" s="91"/>
    </row>
    <row r="9" spans="1:13" x14ac:dyDescent="0.2">
      <c r="A9" s="92">
        <v>5</v>
      </c>
      <c r="B9" s="90">
        <v>5</v>
      </c>
      <c r="C9" s="94">
        <v>0.13</v>
      </c>
      <c r="D9" s="90">
        <v>6</v>
      </c>
      <c r="E9" s="90">
        <v>79</v>
      </c>
      <c r="F9" s="90"/>
      <c r="G9" s="50"/>
      <c r="H9" s="50"/>
      <c r="I9" s="50"/>
      <c r="J9" s="50"/>
      <c r="K9" s="50"/>
      <c r="L9" s="90" t="s">
        <v>69</v>
      </c>
      <c r="M9" s="95" t="s">
        <v>69</v>
      </c>
    </row>
    <row r="10" spans="1:13" x14ac:dyDescent="0.2">
      <c r="A10" s="96"/>
      <c r="B10" s="13"/>
      <c r="C10" s="90" t="s">
        <v>20</v>
      </c>
      <c r="D10" s="90" t="s">
        <v>20</v>
      </c>
      <c r="E10" s="90" t="s">
        <v>20</v>
      </c>
      <c r="F10" s="90" t="s">
        <v>41</v>
      </c>
      <c r="G10" s="90" t="s">
        <v>41</v>
      </c>
      <c r="H10" s="90" t="s">
        <v>41</v>
      </c>
      <c r="I10" s="90" t="s">
        <v>67</v>
      </c>
      <c r="J10" s="90" t="s">
        <v>66</v>
      </c>
      <c r="K10" s="90" t="s">
        <v>41</v>
      </c>
      <c r="L10" s="90" t="s">
        <v>68</v>
      </c>
      <c r="M10" s="95" t="s">
        <v>68</v>
      </c>
    </row>
    <row r="11" spans="1:13" x14ac:dyDescent="0.2">
      <c r="A11" s="97" t="s">
        <v>33</v>
      </c>
      <c r="B11" s="5" t="s">
        <v>34</v>
      </c>
      <c r="C11" s="5" t="s">
        <v>35</v>
      </c>
      <c r="D11" s="5" t="s">
        <v>36</v>
      </c>
      <c r="E11" s="5" t="s">
        <v>65</v>
      </c>
      <c r="F11" s="5" t="s">
        <v>37</v>
      </c>
      <c r="G11" s="5" t="s">
        <v>38</v>
      </c>
      <c r="H11" s="5" t="s">
        <v>70</v>
      </c>
      <c r="I11" s="5" t="s">
        <v>59</v>
      </c>
      <c r="J11" s="5" t="s">
        <v>60</v>
      </c>
      <c r="K11" s="5" t="s">
        <v>61</v>
      </c>
      <c r="L11" s="5" t="s">
        <v>62</v>
      </c>
      <c r="M11" s="98" t="s">
        <v>63</v>
      </c>
    </row>
    <row r="12" spans="1:13" x14ac:dyDescent="0.2">
      <c r="A12" s="99">
        <v>1</v>
      </c>
      <c r="B12" s="90">
        <v>150</v>
      </c>
      <c r="C12" s="90">
        <v>0.47199999999999998</v>
      </c>
      <c r="D12" s="90">
        <v>0.26400000000000001</v>
      </c>
      <c r="E12" s="90">
        <v>0.13</v>
      </c>
      <c r="F12" s="90">
        <v>0.5</v>
      </c>
      <c r="G12" s="90">
        <v>0.8</v>
      </c>
      <c r="H12" s="90">
        <v>0</v>
      </c>
      <c r="I12" s="90">
        <v>1.4</v>
      </c>
      <c r="J12" s="90">
        <v>0.1</v>
      </c>
      <c r="K12" s="90">
        <v>0.1</v>
      </c>
      <c r="L12" s="90">
        <v>22</v>
      </c>
      <c r="M12" s="95">
        <v>2.2000000000000002</v>
      </c>
    </row>
    <row r="13" spans="1:13" x14ac:dyDescent="0.2">
      <c r="A13" s="99">
        <v>2</v>
      </c>
      <c r="B13" s="90">
        <v>150</v>
      </c>
      <c r="C13" s="90">
        <v>0.47799999999999998</v>
      </c>
      <c r="D13" s="90">
        <v>0.27300000000000002</v>
      </c>
      <c r="E13" s="90">
        <v>0.13</v>
      </c>
      <c r="F13" s="90">
        <v>0.5</v>
      </c>
      <c r="G13" s="90">
        <v>0.9</v>
      </c>
      <c r="H13" s="90">
        <v>0</v>
      </c>
      <c r="I13" s="90">
        <v>1.38</v>
      </c>
      <c r="J13" s="90">
        <v>0.1</v>
      </c>
      <c r="K13" s="90">
        <v>0.1</v>
      </c>
      <c r="L13" s="90">
        <v>18</v>
      </c>
      <c r="M13" s="95">
        <v>1.8</v>
      </c>
    </row>
    <row r="14" spans="1:13" x14ac:dyDescent="0.2">
      <c r="A14" s="99">
        <v>3</v>
      </c>
      <c r="B14" s="90">
        <v>300</v>
      </c>
      <c r="C14" s="90">
        <v>0.504</v>
      </c>
      <c r="D14" s="90">
        <v>0.32800000000000001</v>
      </c>
      <c r="E14" s="90">
        <v>0.13</v>
      </c>
      <c r="F14" s="90">
        <v>0.5</v>
      </c>
      <c r="G14" s="90">
        <v>0.9</v>
      </c>
      <c r="H14" s="90">
        <v>0</v>
      </c>
      <c r="I14" s="90">
        <v>1.31</v>
      </c>
      <c r="J14" s="90">
        <v>0.06</v>
      </c>
      <c r="K14" s="90">
        <v>0.1</v>
      </c>
      <c r="L14" s="90">
        <v>10</v>
      </c>
      <c r="M14" s="95">
        <v>1.6</v>
      </c>
    </row>
    <row r="15" spans="1:13" x14ac:dyDescent="0.2">
      <c r="A15" s="99">
        <v>4</v>
      </c>
      <c r="B15" s="90">
        <v>300</v>
      </c>
      <c r="C15" s="90">
        <v>0.52</v>
      </c>
      <c r="D15" s="90">
        <v>0.36399999999999999</v>
      </c>
      <c r="E15" s="90">
        <v>0.13</v>
      </c>
      <c r="F15" s="90">
        <v>0.5</v>
      </c>
      <c r="G15" s="90">
        <v>0.9</v>
      </c>
      <c r="H15" s="90">
        <v>0</v>
      </c>
      <c r="I15" s="90">
        <v>1.27</v>
      </c>
      <c r="J15" s="90">
        <v>0.04</v>
      </c>
      <c r="K15" s="90">
        <v>0.05</v>
      </c>
      <c r="L15" s="90">
        <v>7</v>
      </c>
      <c r="M15" s="95">
        <v>1.3</v>
      </c>
    </row>
    <row r="16" spans="1:13" x14ac:dyDescent="0.2">
      <c r="A16" s="99">
        <v>5</v>
      </c>
      <c r="B16" s="90">
        <v>300</v>
      </c>
      <c r="C16" s="90">
        <v>0.52300000000000002</v>
      </c>
      <c r="D16" s="90">
        <v>0.373</v>
      </c>
      <c r="E16" s="90">
        <v>0.13</v>
      </c>
      <c r="F16" s="90">
        <v>0.5</v>
      </c>
      <c r="G16" s="90">
        <v>0.9</v>
      </c>
      <c r="H16" s="90">
        <v>0</v>
      </c>
      <c r="I16" s="90">
        <v>1.26</v>
      </c>
      <c r="J16" s="90">
        <v>0.02</v>
      </c>
      <c r="K16" s="90">
        <v>0.05</v>
      </c>
      <c r="L16" s="90">
        <v>5</v>
      </c>
      <c r="M16" s="95">
        <v>1.1000000000000001</v>
      </c>
    </row>
    <row r="17" spans="1:13" x14ac:dyDescent="0.2">
      <c r="A17" s="99">
        <v>6</v>
      </c>
      <c r="B17" s="90"/>
      <c r="C17" s="90"/>
      <c r="D17" s="90"/>
      <c r="E17" s="90"/>
      <c r="F17" s="90"/>
      <c r="G17" s="50"/>
      <c r="H17" s="50"/>
      <c r="I17" s="50"/>
      <c r="J17" s="50"/>
      <c r="K17" s="50"/>
      <c r="L17" s="50"/>
      <c r="M17" s="91"/>
    </row>
    <row r="18" spans="1:13" x14ac:dyDescent="0.2">
      <c r="A18" s="99">
        <v>7</v>
      </c>
      <c r="B18" s="90"/>
      <c r="C18" s="90"/>
      <c r="D18" s="90"/>
      <c r="E18" s="90"/>
      <c r="F18" s="90"/>
      <c r="G18" s="50"/>
      <c r="H18" s="50"/>
      <c r="I18" s="50"/>
      <c r="J18" s="50"/>
      <c r="K18" s="50"/>
      <c r="L18" s="50"/>
      <c r="M18" s="91"/>
    </row>
    <row r="19" spans="1:13" x14ac:dyDescent="0.2">
      <c r="A19" s="99">
        <v>8</v>
      </c>
      <c r="B19" s="90"/>
      <c r="C19" s="90"/>
      <c r="D19" s="90"/>
      <c r="E19" s="90"/>
      <c r="F19" s="90"/>
      <c r="G19" s="50"/>
      <c r="H19" s="50"/>
      <c r="I19" s="50"/>
      <c r="J19" s="50"/>
      <c r="K19" s="50"/>
      <c r="L19" s="50"/>
      <c r="M19" s="91"/>
    </row>
    <row r="20" spans="1:13" x14ac:dyDescent="0.2">
      <c r="A20" s="100">
        <v>9</v>
      </c>
      <c r="B20" s="9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91"/>
    </row>
    <row r="21" spans="1:13" ht="13.5" thickBot="1" x14ac:dyDescent="0.25">
      <c r="A21" s="101">
        <v>10</v>
      </c>
      <c r="B21" s="102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4"/>
    </row>
    <row r="23" spans="1:13" ht="13.5" thickBot="1" x14ac:dyDescent="0.25"/>
    <row r="24" spans="1:13" x14ac:dyDescent="0.2">
      <c r="A24" s="85" t="s">
        <v>688</v>
      </c>
      <c r="B24" s="86"/>
      <c r="C24" s="87"/>
      <c r="D24" s="87"/>
      <c r="E24" s="87"/>
      <c r="F24" s="86"/>
      <c r="G24" s="87"/>
      <c r="H24" s="87"/>
      <c r="I24" s="87"/>
      <c r="J24" s="87"/>
      <c r="K24" s="87"/>
      <c r="L24" s="87"/>
      <c r="M24" s="88"/>
    </row>
    <row r="25" spans="1:13" x14ac:dyDescent="0.2">
      <c r="A25" s="89" t="s">
        <v>682</v>
      </c>
      <c r="B25" s="45"/>
      <c r="C25" s="45" t="s">
        <v>683</v>
      </c>
      <c r="D25" s="50"/>
      <c r="E25" s="50"/>
      <c r="F25" s="90"/>
      <c r="G25" s="50"/>
      <c r="H25" s="50"/>
      <c r="I25" s="50"/>
      <c r="J25" s="50"/>
      <c r="K25" s="50"/>
      <c r="L25" s="50"/>
      <c r="M25" s="91"/>
    </row>
    <row r="26" spans="1:13" x14ac:dyDescent="0.2">
      <c r="A26" s="92" t="s">
        <v>763</v>
      </c>
      <c r="B26" s="50"/>
      <c r="C26" s="93" t="s">
        <v>762</v>
      </c>
      <c r="D26" s="50"/>
      <c r="E26" s="50"/>
      <c r="F26" s="90"/>
      <c r="G26" s="50"/>
      <c r="H26" s="50"/>
      <c r="I26" s="50"/>
      <c r="J26" s="50"/>
      <c r="K26" s="50"/>
      <c r="L26" s="50"/>
      <c r="M26" s="91"/>
    </row>
    <row r="27" spans="1:13" x14ac:dyDescent="0.2">
      <c r="A27" s="89" t="s">
        <v>692</v>
      </c>
      <c r="B27" s="45" t="s">
        <v>691</v>
      </c>
      <c r="C27" s="45" t="s">
        <v>689</v>
      </c>
      <c r="D27" s="45" t="s">
        <v>708</v>
      </c>
      <c r="E27" s="45" t="s">
        <v>690</v>
      </c>
      <c r="F27" s="90"/>
      <c r="G27" s="50"/>
      <c r="H27" s="50"/>
      <c r="I27" s="50"/>
      <c r="J27" s="50"/>
      <c r="K27" s="50"/>
      <c r="L27" s="50"/>
      <c r="M27" s="91"/>
    </row>
    <row r="28" spans="1:13" x14ac:dyDescent="0.2">
      <c r="A28" s="92">
        <v>5</v>
      </c>
      <c r="B28" s="90">
        <v>5</v>
      </c>
      <c r="C28" s="94">
        <v>0.13</v>
      </c>
      <c r="D28" s="90">
        <v>6</v>
      </c>
      <c r="E28" s="90">
        <v>73</v>
      </c>
      <c r="F28" s="90"/>
      <c r="G28" s="50"/>
      <c r="H28" s="50"/>
      <c r="I28" s="50"/>
      <c r="J28" s="50"/>
      <c r="K28" s="50"/>
      <c r="L28" s="90" t="s">
        <v>69</v>
      </c>
      <c r="M28" s="95" t="s">
        <v>69</v>
      </c>
    </row>
    <row r="29" spans="1:13" x14ac:dyDescent="0.2">
      <c r="A29" s="96"/>
      <c r="B29" s="13"/>
      <c r="C29" s="90" t="s">
        <v>20</v>
      </c>
      <c r="D29" s="90" t="s">
        <v>20</v>
      </c>
      <c r="E29" s="90" t="s">
        <v>20</v>
      </c>
      <c r="F29" s="90" t="s">
        <v>41</v>
      </c>
      <c r="G29" s="90" t="s">
        <v>41</v>
      </c>
      <c r="H29" s="90" t="s">
        <v>41</v>
      </c>
      <c r="I29" s="90" t="s">
        <v>67</v>
      </c>
      <c r="J29" s="90" t="s">
        <v>66</v>
      </c>
      <c r="K29" s="90" t="s">
        <v>41</v>
      </c>
      <c r="L29" s="90" t="s">
        <v>68</v>
      </c>
      <c r="M29" s="95" t="s">
        <v>68</v>
      </c>
    </row>
    <row r="30" spans="1:13" x14ac:dyDescent="0.2">
      <c r="A30" s="97" t="s">
        <v>33</v>
      </c>
      <c r="B30" s="5" t="s">
        <v>34</v>
      </c>
      <c r="C30" s="5" t="s">
        <v>35</v>
      </c>
      <c r="D30" s="5" t="s">
        <v>36</v>
      </c>
      <c r="E30" s="5" t="s">
        <v>65</v>
      </c>
      <c r="F30" s="5" t="s">
        <v>37</v>
      </c>
      <c r="G30" s="5" t="s">
        <v>38</v>
      </c>
      <c r="H30" s="5" t="s">
        <v>70</v>
      </c>
      <c r="I30" s="5" t="s">
        <v>59</v>
      </c>
      <c r="J30" s="5" t="s">
        <v>60</v>
      </c>
      <c r="K30" s="5" t="s">
        <v>61</v>
      </c>
      <c r="L30" s="5" t="s">
        <v>62</v>
      </c>
      <c r="M30" s="98" t="s">
        <v>63</v>
      </c>
    </row>
    <row r="31" spans="1:13" x14ac:dyDescent="0.2">
      <c r="A31" s="99">
        <v>1</v>
      </c>
      <c r="B31" s="90">
        <v>150</v>
      </c>
      <c r="C31" s="90">
        <v>0.52500000000000002</v>
      </c>
      <c r="D31" s="90">
        <v>0.376</v>
      </c>
      <c r="E31" s="90">
        <v>0.17199999999999999</v>
      </c>
      <c r="F31" s="90">
        <v>0.4</v>
      </c>
      <c r="G31" s="30">
        <v>0.78488372093023273</v>
      </c>
      <c r="H31" s="90">
        <v>0</v>
      </c>
      <c r="I31" s="90">
        <v>1.26</v>
      </c>
      <c r="J31" s="30">
        <v>0.11299999999999999</v>
      </c>
      <c r="K31" s="90">
        <v>0.1</v>
      </c>
      <c r="L31" s="90">
        <v>11</v>
      </c>
      <c r="M31" s="95">
        <v>2.2000000000000002</v>
      </c>
    </row>
    <row r="32" spans="1:13" x14ac:dyDescent="0.2">
      <c r="A32" s="99">
        <v>2</v>
      </c>
      <c r="B32" s="90">
        <v>150</v>
      </c>
      <c r="C32" s="90">
        <v>0.52500000000000002</v>
      </c>
      <c r="D32" s="90">
        <v>0.376</v>
      </c>
      <c r="E32" s="90">
        <v>0.17199999999999999</v>
      </c>
      <c r="F32" s="90">
        <v>0.4</v>
      </c>
      <c r="G32" s="30">
        <v>0.93023255813953487</v>
      </c>
      <c r="H32" s="90">
        <v>0</v>
      </c>
      <c r="I32" s="90">
        <v>1.26</v>
      </c>
      <c r="J32" s="150">
        <v>0.11299999999999999</v>
      </c>
      <c r="K32" s="90">
        <v>0.1</v>
      </c>
      <c r="L32" s="90">
        <v>8</v>
      </c>
      <c r="M32" s="95">
        <v>1.8</v>
      </c>
    </row>
    <row r="33" spans="1:13" x14ac:dyDescent="0.2">
      <c r="A33" s="99">
        <v>3</v>
      </c>
      <c r="B33" s="90">
        <v>300</v>
      </c>
      <c r="C33" s="90">
        <v>0.52400000000000002</v>
      </c>
      <c r="D33" s="90">
        <v>0.377</v>
      </c>
      <c r="E33" s="90">
        <v>0.14699999999999999</v>
      </c>
      <c r="F33" s="90">
        <v>0.4</v>
      </c>
      <c r="G33" s="30">
        <v>1.0297619047619049</v>
      </c>
      <c r="H33" s="90">
        <v>0</v>
      </c>
      <c r="I33" s="90">
        <v>1.26</v>
      </c>
      <c r="J33" s="150">
        <v>9.5000000000000001E-2</v>
      </c>
      <c r="K33" s="90">
        <v>0.1</v>
      </c>
      <c r="L33" s="90">
        <v>6</v>
      </c>
      <c r="M33" s="95">
        <v>1.6</v>
      </c>
    </row>
    <row r="34" spans="1:13" x14ac:dyDescent="0.2">
      <c r="A34" s="99">
        <v>4</v>
      </c>
      <c r="B34" s="90">
        <v>300</v>
      </c>
      <c r="C34" s="90">
        <v>0.52900000000000003</v>
      </c>
      <c r="D34" s="90">
        <v>0.40200000000000002</v>
      </c>
      <c r="E34" s="90">
        <v>0.16</v>
      </c>
      <c r="F34" s="90">
        <v>0.4</v>
      </c>
      <c r="G34" s="30">
        <v>1</v>
      </c>
      <c r="H34" s="90">
        <v>0</v>
      </c>
      <c r="I34" s="90">
        <v>1.25</v>
      </c>
      <c r="J34" s="150">
        <v>5.5E-2</v>
      </c>
      <c r="K34" s="90">
        <v>0.1</v>
      </c>
      <c r="L34" s="90">
        <v>5</v>
      </c>
      <c r="M34" s="95">
        <v>1.3</v>
      </c>
    </row>
    <row r="35" spans="1:13" x14ac:dyDescent="0.2">
      <c r="A35" s="99">
        <v>5</v>
      </c>
      <c r="B35" s="90">
        <v>300</v>
      </c>
      <c r="C35" s="90">
        <v>0.54100000000000004</v>
      </c>
      <c r="D35" s="90">
        <v>0.44400000000000001</v>
      </c>
      <c r="E35" s="90">
        <v>0.158</v>
      </c>
      <c r="F35" s="90">
        <v>0.4</v>
      </c>
      <c r="G35" s="30">
        <v>1</v>
      </c>
      <c r="H35" s="90">
        <v>0</v>
      </c>
      <c r="I35" s="90">
        <v>1.22</v>
      </c>
      <c r="J35" s="150">
        <v>0.02</v>
      </c>
      <c r="K35" s="90">
        <v>0.05</v>
      </c>
      <c r="L35" s="90">
        <v>4</v>
      </c>
      <c r="M35" s="95">
        <v>1.1000000000000001</v>
      </c>
    </row>
    <row r="36" spans="1:13" x14ac:dyDescent="0.2">
      <c r="A36" s="99">
        <v>6</v>
      </c>
      <c r="B36" s="90">
        <v>300</v>
      </c>
      <c r="C36" s="90">
        <v>0.52800000000000002</v>
      </c>
      <c r="D36" s="90">
        <v>0.39800000000000002</v>
      </c>
      <c r="E36" s="90">
        <v>0.13</v>
      </c>
      <c r="F36" s="90">
        <v>0.4</v>
      </c>
      <c r="G36" s="150">
        <v>1</v>
      </c>
      <c r="H36" s="90">
        <v>0</v>
      </c>
      <c r="I36" s="15">
        <v>1.25</v>
      </c>
      <c r="J36" s="150">
        <v>1.6E-2</v>
      </c>
      <c r="K36" s="90">
        <v>0.05</v>
      </c>
      <c r="L36" s="152">
        <v>0</v>
      </c>
      <c r="M36" s="153">
        <v>0</v>
      </c>
    </row>
    <row r="37" spans="1:13" x14ac:dyDescent="0.2">
      <c r="A37" s="99">
        <v>7</v>
      </c>
      <c r="B37" s="90"/>
      <c r="C37" s="90"/>
      <c r="D37" s="90"/>
      <c r="E37" s="90"/>
      <c r="F37" s="90"/>
      <c r="G37" s="50"/>
      <c r="H37" s="50"/>
      <c r="I37" s="50"/>
      <c r="J37" s="50"/>
      <c r="K37" s="50"/>
      <c r="L37" s="50"/>
      <c r="M37" s="91"/>
    </row>
    <row r="38" spans="1:13" x14ac:dyDescent="0.2">
      <c r="A38" s="99">
        <v>8</v>
      </c>
      <c r="B38" s="90"/>
      <c r="C38" s="90"/>
      <c r="D38" s="90"/>
      <c r="E38" s="90"/>
      <c r="F38" s="90"/>
      <c r="G38" s="50"/>
      <c r="H38" s="50"/>
      <c r="I38" s="50"/>
      <c r="J38" s="50"/>
      <c r="K38" s="50"/>
      <c r="L38" s="50"/>
      <c r="M38" s="91"/>
    </row>
    <row r="39" spans="1:13" x14ac:dyDescent="0.2">
      <c r="A39" s="100">
        <v>9</v>
      </c>
      <c r="B39" s="9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91"/>
    </row>
    <row r="40" spans="1:13" ht="13.5" thickBot="1" x14ac:dyDescent="0.25">
      <c r="A40" s="101">
        <v>10</v>
      </c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4"/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A9BB-B0D0-488F-95D3-59B34D4DC569}">
  <sheetPr codeName="Sheet5"/>
  <dimension ref="A1:G100"/>
  <sheetViews>
    <sheetView zoomScale="80" zoomScaleNormal="80" workbookViewId="0">
      <pane xSplit="2" ySplit="6" topLeftCell="C13" activePane="bottomRight" state="frozen"/>
      <selection pane="topRight" activeCell="E1" sqref="E1"/>
      <selection pane="bottomLeft" activeCell="A7" sqref="A7"/>
      <selection pane="bottomRight" activeCell="L26" sqref="L26"/>
    </sheetView>
  </sheetViews>
  <sheetFormatPr defaultRowHeight="12.75" x14ac:dyDescent="0.2"/>
  <cols>
    <col min="1" max="1" width="14.5703125" customWidth="1"/>
    <col min="2" max="2" width="16" style="10" customWidth="1"/>
    <col min="3" max="5" width="12.7109375" customWidth="1"/>
    <col min="6" max="6" width="12.7109375" style="10" customWidth="1"/>
    <col min="7" max="7" width="12.7109375" customWidth="1"/>
  </cols>
  <sheetData>
    <row r="1" spans="1:7" x14ac:dyDescent="0.2">
      <c r="A1" s="123">
        <v>1</v>
      </c>
      <c r="B1" s="124">
        <v>2</v>
      </c>
      <c r="C1" s="123">
        <v>3</v>
      </c>
      <c r="D1" s="123">
        <v>4</v>
      </c>
      <c r="E1" s="123">
        <v>5</v>
      </c>
      <c r="F1" s="124">
        <v>6</v>
      </c>
      <c r="G1" s="123">
        <v>7</v>
      </c>
    </row>
    <row r="4" spans="1:7" x14ac:dyDescent="0.2">
      <c r="A4" s="75" t="s">
        <v>695</v>
      </c>
      <c r="C4" s="74">
        <v>3</v>
      </c>
      <c r="D4" s="74">
        <v>4</v>
      </c>
      <c r="E4" s="74">
        <v>5</v>
      </c>
      <c r="F4" s="34">
        <v>6</v>
      </c>
      <c r="G4" s="74">
        <v>7</v>
      </c>
    </row>
    <row r="5" spans="1:7" x14ac:dyDescent="0.2">
      <c r="A5" s="77" t="s">
        <v>0</v>
      </c>
      <c r="C5" s="33" t="s">
        <v>768</v>
      </c>
      <c r="D5" s="33"/>
      <c r="E5" s="33"/>
      <c r="F5" s="33"/>
      <c r="G5" s="33"/>
    </row>
    <row r="6" spans="1:7" x14ac:dyDescent="0.2">
      <c r="A6" s="19" t="s">
        <v>23</v>
      </c>
      <c r="B6" s="34"/>
      <c r="C6" s="65" t="s">
        <v>767</v>
      </c>
      <c r="D6" s="20"/>
      <c r="E6" s="65"/>
      <c r="F6" s="65"/>
      <c r="G6" s="65"/>
    </row>
    <row r="7" spans="1:7" x14ac:dyDescent="0.2">
      <c r="A7" s="154" t="s">
        <v>4</v>
      </c>
      <c r="B7" s="40" t="s">
        <v>21</v>
      </c>
      <c r="C7" s="136">
        <v>8</v>
      </c>
      <c r="D7" s="136"/>
      <c r="E7" s="136"/>
      <c r="F7" s="136"/>
      <c r="G7" s="136"/>
    </row>
    <row r="8" spans="1:7" x14ac:dyDescent="0.2">
      <c r="A8" s="154" t="s">
        <v>5</v>
      </c>
      <c r="B8" s="40" t="s">
        <v>21</v>
      </c>
      <c r="C8" s="137">
        <v>34</v>
      </c>
      <c r="D8" s="137"/>
      <c r="E8" s="137"/>
      <c r="F8" s="137"/>
      <c r="G8" s="137"/>
    </row>
    <row r="9" spans="1:7" x14ac:dyDescent="0.2">
      <c r="A9" s="154" t="s">
        <v>6</v>
      </c>
      <c r="B9" s="40" t="s">
        <v>21</v>
      </c>
      <c r="C9" s="137">
        <v>37</v>
      </c>
      <c r="D9" s="137"/>
      <c r="E9" s="137"/>
      <c r="F9" s="137"/>
      <c r="G9" s="137"/>
    </row>
    <row r="10" spans="1:7" x14ac:dyDescent="0.2">
      <c r="A10" s="154" t="s">
        <v>7</v>
      </c>
      <c r="B10" s="40" t="s">
        <v>21</v>
      </c>
      <c r="C10" s="137">
        <v>45</v>
      </c>
      <c r="D10" s="137"/>
      <c r="E10" s="137"/>
      <c r="F10" s="137"/>
      <c r="G10" s="137"/>
    </row>
    <row r="11" spans="1:7" x14ac:dyDescent="0.2">
      <c r="A11" s="154"/>
      <c r="B11" s="40"/>
      <c r="C11" s="137"/>
      <c r="D11" s="137"/>
      <c r="E11" s="137"/>
      <c r="F11" s="137"/>
      <c r="G11" s="137"/>
    </row>
    <row r="12" spans="1:7" x14ac:dyDescent="0.2">
      <c r="A12" s="154"/>
      <c r="B12" s="40"/>
      <c r="C12" s="137"/>
      <c r="D12" s="137"/>
      <c r="E12" s="137"/>
      <c r="F12" s="137"/>
      <c r="G12" s="137"/>
    </row>
    <row r="13" spans="1:7" x14ac:dyDescent="0.2">
      <c r="A13" s="154"/>
      <c r="B13" s="40"/>
      <c r="C13" s="137"/>
      <c r="D13" s="137"/>
      <c r="E13" s="137"/>
      <c r="F13" s="137"/>
      <c r="G13" s="137"/>
    </row>
    <row r="14" spans="1:7" x14ac:dyDescent="0.2">
      <c r="A14" s="154"/>
      <c r="B14" s="40"/>
      <c r="C14" s="137"/>
      <c r="D14" s="137"/>
      <c r="E14" s="137"/>
      <c r="F14" s="137"/>
      <c r="G14" s="137"/>
    </row>
    <row r="15" spans="1:7" x14ac:dyDescent="0.2">
      <c r="A15" s="154"/>
      <c r="B15" s="40"/>
      <c r="C15" s="137"/>
      <c r="D15" s="137"/>
      <c r="E15" s="137"/>
      <c r="F15" s="137"/>
      <c r="G15" s="137"/>
    </row>
    <row r="16" spans="1:7" x14ac:dyDescent="0.2">
      <c r="A16" s="154"/>
      <c r="B16" s="40"/>
      <c r="C16" s="137"/>
      <c r="D16" s="137"/>
      <c r="E16" s="137"/>
      <c r="F16" s="137"/>
      <c r="G16" s="137"/>
    </row>
    <row r="17" spans="1:7" x14ac:dyDescent="0.2">
      <c r="A17" s="154"/>
      <c r="B17" s="40"/>
      <c r="C17" s="137"/>
      <c r="D17" s="137"/>
      <c r="E17" s="137"/>
      <c r="F17" s="137"/>
      <c r="G17" s="137"/>
    </row>
    <row r="18" spans="1:7" x14ac:dyDescent="0.2">
      <c r="A18" s="154"/>
      <c r="B18" s="40"/>
      <c r="C18" s="137"/>
      <c r="D18" s="137"/>
      <c r="E18" s="137"/>
      <c r="F18" s="137"/>
      <c r="G18" s="137"/>
    </row>
    <row r="19" spans="1:7" x14ac:dyDescent="0.2">
      <c r="A19" s="154" t="s">
        <v>644</v>
      </c>
      <c r="B19" s="40" t="s">
        <v>21</v>
      </c>
      <c r="C19" s="161">
        <v>14</v>
      </c>
      <c r="D19" s="137"/>
      <c r="E19" s="137"/>
      <c r="F19" s="137"/>
      <c r="G19" s="137"/>
    </row>
    <row r="20" spans="1:7" x14ac:dyDescent="0.2">
      <c r="A20" s="154" t="s">
        <v>645</v>
      </c>
      <c r="B20" s="40" t="s">
        <v>21</v>
      </c>
      <c r="C20" s="161">
        <v>1.7538</v>
      </c>
      <c r="D20" s="137"/>
      <c r="E20" s="162"/>
      <c r="F20" s="163"/>
      <c r="G20" s="137"/>
    </row>
    <row r="21" spans="1:7" x14ac:dyDescent="0.2">
      <c r="A21" s="134"/>
      <c r="B21" s="14"/>
      <c r="C21" s="138"/>
      <c r="D21" s="137"/>
      <c r="E21" s="137"/>
      <c r="F21" s="137"/>
      <c r="G21" s="137"/>
    </row>
    <row r="22" spans="1:7" x14ac:dyDescent="0.2">
      <c r="A22" s="135" t="s">
        <v>709</v>
      </c>
      <c r="B22" s="40" t="s">
        <v>190</v>
      </c>
      <c r="C22" s="138">
        <v>2</v>
      </c>
      <c r="D22" s="138"/>
      <c r="E22" s="158"/>
      <c r="F22" s="138"/>
      <c r="G22" s="137"/>
    </row>
    <row r="23" spans="1:7" x14ac:dyDescent="0.2">
      <c r="A23" s="135" t="s">
        <v>769</v>
      </c>
      <c r="B23" s="40" t="s">
        <v>190</v>
      </c>
      <c r="C23" s="161">
        <v>12.3</v>
      </c>
      <c r="D23" s="138"/>
      <c r="E23" s="158"/>
      <c r="F23" s="141"/>
      <c r="G23" s="137"/>
    </row>
    <row r="24" spans="1:7" x14ac:dyDescent="0.2">
      <c r="A24" s="135" t="s">
        <v>770</v>
      </c>
      <c r="B24" s="40" t="s">
        <v>190</v>
      </c>
      <c r="C24" s="138">
        <v>4</v>
      </c>
      <c r="D24" s="138"/>
      <c r="E24" s="158"/>
      <c r="F24" s="141"/>
      <c r="G24" s="137"/>
    </row>
    <row r="25" spans="1:7" x14ac:dyDescent="0.2">
      <c r="A25" s="135" t="s">
        <v>795</v>
      </c>
      <c r="B25" s="40" t="s">
        <v>190</v>
      </c>
      <c r="C25" s="138">
        <v>18</v>
      </c>
      <c r="D25" s="138"/>
      <c r="E25" s="158"/>
      <c r="F25" s="141"/>
      <c r="G25" s="137"/>
    </row>
    <row r="26" spans="1:7" x14ac:dyDescent="0.2">
      <c r="A26" s="135" t="s">
        <v>796</v>
      </c>
      <c r="B26" s="40" t="s">
        <v>190</v>
      </c>
      <c r="C26" s="138">
        <v>6</v>
      </c>
      <c r="D26" s="138"/>
      <c r="E26" s="158"/>
      <c r="F26" s="159"/>
      <c r="G26" s="137"/>
    </row>
    <row r="27" spans="1:7" x14ac:dyDescent="0.2">
      <c r="A27" s="135" t="s">
        <v>772</v>
      </c>
      <c r="B27" s="40" t="s">
        <v>190</v>
      </c>
      <c r="C27" s="138">
        <v>2</v>
      </c>
      <c r="D27" s="138"/>
      <c r="E27" s="158"/>
      <c r="F27" s="141"/>
      <c r="G27" s="137"/>
    </row>
    <row r="28" spans="1:7" x14ac:dyDescent="0.2">
      <c r="A28" s="135" t="s">
        <v>771</v>
      </c>
      <c r="B28" s="40" t="s">
        <v>190</v>
      </c>
      <c r="C28" s="161">
        <v>21.4</v>
      </c>
      <c r="D28" s="138"/>
      <c r="E28" s="158"/>
      <c r="F28" s="141"/>
      <c r="G28" s="137"/>
    </row>
    <row r="29" spans="1:7" x14ac:dyDescent="0.2">
      <c r="A29" s="135" t="s">
        <v>710</v>
      </c>
      <c r="B29" s="40" t="s">
        <v>190</v>
      </c>
      <c r="C29" s="138">
        <v>4</v>
      </c>
      <c r="D29" s="138"/>
      <c r="E29" s="158"/>
      <c r="F29" s="160"/>
      <c r="G29" s="137"/>
    </row>
    <row r="30" spans="1:7" x14ac:dyDescent="0.2">
      <c r="A30" s="134"/>
      <c r="B30" s="14"/>
      <c r="C30" s="138"/>
      <c r="D30" s="138"/>
      <c r="E30" s="137"/>
      <c r="F30" s="139"/>
      <c r="G30" s="137"/>
    </row>
    <row r="31" spans="1:7" x14ac:dyDescent="0.2">
      <c r="A31" s="134" t="s">
        <v>24</v>
      </c>
      <c r="B31" s="40" t="s">
        <v>42</v>
      </c>
      <c r="C31" s="136">
        <v>50</v>
      </c>
      <c r="D31" s="136"/>
      <c r="E31" s="136"/>
      <c r="F31" s="136"/>
      <c r="G31" s="136"/>
    </row>
    <row r="32" spans="1:7" x14ac:dyDescent="0.2">
      <c r="A32" s="154" t="s">
        <v>25</v>
      </c>
      <c r="B32" s="40" t="s">
        <v>41</v>
      </c>
      <c r="C32" s="136">
        <v>1</v>
      </c>
      <c r="D32" s="136"/>
      <c r="E32" s="136"/>
      <c r="F32" s="136"/>
      <c r="G32" s="136"/>
    </row>
    <row r="33" spans="1:7" x14ac:dyDescent="0.2">
      <c r="A33" s="134" t="s">
        <v>26</v>
      </c>
      <c r="B33" s="126"/>
      <c r="C33" s="136">
        <v>2.54</v>
      </c>
      <c r="D33" s="136" t="s">
        <v>803</v>
      </c>
      <c r="E33" s="136"/>
      <c r="F33" s="136"/>
      <c r="G33" s="136"/>
    </row>
    <row r="34" spans="1:7" x14ac:dyDescent="0.2">
      <c r="A34" s="134" t="s">
        <v>27</v>
      </c>
      <c r="B34" s="40" t="s">
        <v>43</v>
      </c>
      <c r="C34" s="136">
        <v>2.5000000000000001E-2</v>
      </c>
      <c r="D34" s="136"/>
      <c r="E34" s="136"/>
      <c r="F34" s="136"/>
      <c r="G34" s="136"/>
    </row>
    <row r="35" spans="1:7" x14ac:dyDescent="0.2">
      <c r="A35" s="154" t="s">
        <v>657</v>
      </c>
      <c r="B35" s="40" t="s">
        <v>21</v>
      </c>
      <c r="C35" s="136">
        <v>5</v>
      </c>
      <c r="D35" s="136"/>
      <c r="E35" s="136"/>
      <c r="F35" s="136"/>
      <c r="G35" s="136"/>
    </row>
    <row r="36" spans="1:7" x14ac:dyDescent="0.2">
      <c r="A36" s="155" t="s">
        <v>658</v>
      </c>
      <c r="B36" s="40" t="s">
        <v>659</v>
      </c>
      <c r="C36" s="138">
        <v>0.01</v>
      </c>
      <c r="D36" s="138"/>
      <c r="E36" s="138"/>
      <c r="F36" s="138"/>
      <c r="G36" s="138"/>
    </row>
    <row r="37" spans="1:7" x14ac:dyDescent="0.2">
      <c r="A37" s="134"/>
      <c r="B37" s="41"/>
      <c r="C37" s="140"/>
      <c r="D37" s="140"/>
      <c r="E37" s="140"/>
      <c r="F37" s="140"/>
      <c r="G37" s="140"/>
    </row>
    <row r="38" spans="1:7" x14ac:dyDescent="0.2">
      <c r="A38" s="154" t="s">
        <v>8</v>
      </c>
      <c r="B38" s="40" t="s">
        <v>21</v>
      </c>
      <c r="C38" s="136">
        <v>8</v>
      </c>
      <c r="D38" s="136"/>
      <c r="E38" s="136"/>
      <c r="F38" s="136"/>
      <c r="G38" s="136"/>
    </row>
    <row r="39" spans="1:7" x14ac:dyDescent="0.2">
      <c r="A39" s="154" t="s">
        <v>9</v>
      </c>
      <c r="B39" s="40" t="s">
        <v>21</v>
      </c>
      <c r="C39" s="136">
        <v>20</v>
      </c>
      <c r="D39" s="136"/>
      <c r="E39" s="136"/>
      <c r="F39" s="136"/>
      <c r="G39" s="136"/>
    </row>
    <row r="40" spans="1:7" x14ac:dyDescent="0.2">
      <c r="A40" s="154" t="s">
        <v>10</v>
      </c>
      <c r="B40" s="40" t="s">
        <v>21</v>
      </c>
      <c r="C40" s="136">
        <v>35</v>
      </c>
      <c r="D40" s="136"/>
      <c r="E40" s="136"/>
      <c r="F40" s="136"/>
      <c r="G40" s="136"/>
    </row>
    <row r="41" spans="1:7" x14ac:dyDescent="0.2">
      <c r="A41" s="154" t="s">
        <v>11</v>
      </c>
      <c r="B41" s="40" t="s">
        <v>21</v>
      </c>
      <c r="C41" s="136">
        <v>50</v>
      </c>
      <c r="D41" s="136"/>
      <c r="E41" s="136"/>
      <c r="F41" s="136"/>
      <c r="G41" s="136"/>
    </row>
    <row r="42" spans="1:7" x14ac:dyDescent="0.2">
      <c r="A42" s="134" t="s">
        <v>12</v>
      </c>
      <c r="B42" s="40" t="s">
        <v>41</v>
      </c>
      <c r="C42" s="136">
        <v>0.6</v>
      </c>
      <c r="D42" s="136"/>
      <c r="E42" s="136"/>
      <c r="F42" s="136"/>
      <c r="G42" s="136"/>
    </row>
    <row r="43" spans="1:7" x14ac:dyDescent="0.2">
      <c r="A43" s="134" t="s">
        <v>13</v>
      </c>
      <c r="B43" s="40" t="s">
        <v>44</v>
      </c>
      <c r="C43" s="136">
        <v>3.2</v>
      </c>
      <c r="D43" s="136"/>
      <c r="E43" s="136"/>
      <c r="F43" s="136"/>
      <c r="G43" s="136"/>
    </row>
    <row r="44" spans="1:7" x14ac:dyDescent="0.2">
      <c r="A44" s="134"/>
      <c r="B44" s="40"/>
      <c r="C44" s="136"/>
      <c r="D44" s="136"/>
      <c r="E44" s="136"/>
      <c r="F44" s="136"/>
      <c r="G44" s="136"/>
    </row>
    <row r="45" spans="1:7" x14ac:dyDescent="0.2">
      <c r="A45" s="134" t="s">
        <v>115</v>
      </c>
      <c r="B45" s="40" t="s">
        <v>45</v>
      </c>
      <c r="C45" s="136">
        <v>0.7</v>
      </c>
      <c r="D45" s="136"/>
      <c r="E45" s="136"/>
      <c r="F45" s="136"/>
      <c r="G45" s="136"/>
    </row>
    <row r="46" spans="1:7" x14ac:dyDescent="0.2">
      <c r="A46" s="134" t="s">
        <v>116</v>
      </c>
      <c r="B46" s="40" t="s">
        <v>45</v>
      </c>
      <c r="C46" s="136">
        <v>0.15</v>
      </c>
      <c r="D46" s="136"/>
      <c r="E46" s="136"/>
      <c r="F46" s="136"/>
      <c r="G46" s="136"/>
    </row>
    <row r="47" spans="1:7" x14ac:dyDescent="0.2">
      <c r="A47" s="134" t="s">
        <v>117</v>
      </c>
      <c r="B47" s="40" t="s">
        <v>46</v>
      </c>
      <c r="C47" s="136">
        <v>180</v>
      </c>
      <c r="D47" s="136"/>
      <c r="E47" s="136"/>
      <c r="F47" s="136"/>
      <c r="G47" s="136"/>
    </row>
    <row r="48" spans="1:7" x14ac:dyDescent="0.2">
      <c r="A48" s="134" t="s">
        <v>118</v>
      </c>
      <c r="B48" s="40" t="s">
        <v>47</v>
      </c>
      <c r="C48" s="136">
        <v>0.05</v>
      </c>
      <c r="D48" s="136"/>
      <c r="E48" s="136"/>
      <c r="F48" s="136"/>
      <c r="G48" s="136"/>
    </row>
    <row r="49" spans="1:7" x14ac:dyDescent="0.2">
      <c r="A49" s="134" t="s">
        <v>14</v>
      </c>
      <c r="B49" s="40" t="s">
        <v>41</v>
      </c>
      <c r="C49" s="136">
        <v>0.22</v>
      </c>
      <c r="D49" s="136"/>
      <c r="E49" s="136"/>
      <c r="F49" s="136"/>
      <c r="G49" s="136"/>
    </row>
    <row r="50" spans="1:7" x14ac:dyDescent="0.2">
      <c r="A50" s="154" t="s">
        <v>106</v>
      </c>
      <c r="B50" s="40" t="s">
        <v>41</v>
      </c>
      <c r="C50" s="136">
        <v>1</v>
      </c>
      <c r="D50" s="136"/>
      <c r="E50" s="136"/>
      <c r="F50" s="136"/>
      <c r="G50" s="136"/>
    </row>
    <row r="51" spans="1:7" x14ac:dyDescent="0.2">
      <c r="A51" s="135" t="s">
        <v>646</v>
      </c>
      <c r="B51" s="40" t="s">
        <v>652</v>
      </c>
      <c r="C51" s="138">
        <v>1.8499999999999999E-2</v>
      </c>
      <c r="D51" s="138"/>
      <c r="E51" s="138"/>
      <c r="F51" s="138"/>
      <c r="G51" s="138"/>
    </row>
    <row r="52" spans="1:7" x14ac:dyDescent="0.2">
      <c r="A52" s="155" t="s">
        <v>647</v>
      </c>
      <c r="B52" s="40" t="s">
        <v>651</v>
      </c>
      <c r="C52" s="138">
        <v>0</v>
      </c>
      <c r="D52" s="138"/>
      <c r="E52" s="138"/>
      <c r="F52" s="138"/>
      <c r="G52" s="138"/>
    </row>
    <row r="53" spans="1:7" x14ac:dyDescent="0.2">
      <c r="A53" s="155" t="s">
        <v>648</v>
      </c>
      <c r="B53" s="40" t="s">
        <v>651</v>
      </c>
      <c r="C53" s="138">
        <v>0</v>
      </c>
      <c r="D53" s="138"/>
      <c r="E53" s="138"/>
      <c r="F53" s="138"/>
      <c r="G53" s="138"/>
    </row>
    <row r="54" spans="1:7" x14ac:dyDescent="0.2">
      <c r="A54" s="155" t="s">
        <v>649</v>
      </c>
      <c r="B54" s="40" t="s">
        <v>651</v>
      </c>
      <c r="C54" s="138">
        <v>9999</v>
      </c>
      <c r="D54" s="138"/>
      <c r="E54" s="138"/>
      <c r="F54" s="138"/>
      <c r="G54" s="138"/>
    </row>
    <row r="55" spans="1:7" x14ac:dyDescent="0.2">
      <c r="A55" s="155" t="s">
        <v>650</v>
      </c>
      <c r="B55" s="40" t="s">
        <v>651</v>
      </c>
      <c r="C55" s="138">
        <v>9999</v>
      </c>
      <c r="D55" s="138"/>
      <c r="E55" s="138"/>
      <c r="F55" s="138"/>
      <c r="G55" s="138"/>
    </row>
    <row r="56" spans="1:7" x14ac:dyDescent="0.2">
      <c r="A56" s="134"/>
      <c r="B56" s="40"/>
      <c r="C56" s="136"/>
      <c r="D56" s="136"/>
      <c r="E56" s="136"/>
      <c r="F56" s="136"/>
      <c r="G56" s="136"/>
    </row>
    <row r="57" spans="1:7" x14ac:dyDescent="0.2">
      <c r="A57" s="154" t="s">
        <v>107</v>
      </c>
      <c r="B57" s="40" t="s">
        <v>19</v>
      </c>
      <c r="C57" s="136">
        <v>150</v>
      </c>
      <c r="D57" s="136"/>
      <c r="E57" s="136"/>
      <c r="F57" s="136"/>
      <c r="G57" s="136"/>
    </row>
    <row r="58" spans="1:7" x14ac:dyDescent="0.2">
      <c r="A58" s="134" t="s">
        <v>119</v>
      </c>
      <c r="B58" s="40" t="s">
        <v>19</v>
      </c>
      <c r="C58" s="136">
        <v>1300</v>
      </c>
      <c r="D58" s="136"/>
      <c r="E58" s="136"/>
      <c r="F58" s="136"/>
      <c r="G58" s="136"/>
    </row>
    <row r="59" spans="1:7" x14ac:dyDescent="0.2">
      <c r="A59" s="154" t="s">
        <v>40</v>
      </c>
      <c r="B59" s="40" t="s">
        <v>707</v>
      </c>
      <c r="C59" s="136">
        <v>27</v>
      </c>
      <c r="D59" s="136"/>
      <c r="E59" s="136"/>
      <c r="F59" s="136"/>
      <c r="G59" s="136"/>
    </row>
    <row r="60" spans="1:7" x14ac:dyDescent="0.2">
      <c r="A60" s="154" t="s">
        <v>120</v>
      </c>
      <c r="B60" s="40" t="s">
        <v>108</v>
      </c>
      <c r="C60" s="136">
        <v>9</v>
      </c>
      <c r="D60" s="136"/>
      <c r="E60" s="136"/>
      <c r="F60" s="136"/>
      <c r="G60" s="136"/>
    </row>
    <row r="61" spans="1:7" x14ac:dyDescent="0.2">
      <c r="A61" s="154" t="s">
        <v>2</v>
      </c>
      <c r="B61" s="40" t="s">
        <v>41</v>
      </c>
      <c r="C61" s="136">
        <v>0.25</v>
      </c>
      <c r="D61" s="136"/>
      <c r="E61" s="136"/>
      <c r="F61" s="136"/>
      <c r="G61" s="136"/>
    </row>
    <row r="62" spans="1:7" x14ac:dyDescent="0.2">
      <c r="A62" s="154" t="s">
        <v>1</v>
      </c>
      <c r="B62" s="40" t="s">
        <v>41</v>
      </c>
      <c r="C62" s="136">
        <v>0.35</v>
      </c>
      <c r="D62" s="136"/>
      <c r="E62" s="136"/>
      <c r="F62" s="136"/>
      <c r="G62" s="136"/>
    </row>
    <row r="63" spans="1:7" x14ac:dyDescent="0.2">
      <c r="A63" s="154" t="s">
        <v>3</v>
      </c>
      <c r="B63" s="40" t="s">
        <v>41</v>
      </c>
      <c r="C63" s="136">
        <v>0.1</v>
      </c>
      <c r="D63" s="136"/>
      <c r="E63" s="136"/>
      <c r="F63" s="136"/>
      <c r="G63" s="136"/>
    </row>
    <row r="64" spans="1:7" x14ac:dyDescent="0.2">
      <c r="A64" s="155" t="s">
        <v>656</v>
      </c>
      <c r="B64" s="40" t="s">
        <v>190</v>
      </c>
      <c r="C64" s="138">
        <v>40</v>
      </c>
      <c r="D64" s="138"/>
      <c r="E64" s="138"/>
      <c r="F64" s="138"/>
      <c r="G64" s="138"/>
    </row>
    <row r="65" spans="1:7" x14ac:dyDescent="0.2">
      <c r="A65" s="134"/>
      <c r="B65" s="40"/>
      <c r="C65" s="136"/>
      <c r="D65" s="136"/>
      <c r="E65" s="136"/>
      <c r="F65" s="136"/>
      <c r="G65" s="136"/>
    </row>
    <row r="66" spans="1:7" x14ac:dyDescent="0.2">
      <c r="A66" s="134" t="s">
        <v>48</v>
      </c>
      <c r="B66" s="40" t="s">
        <v>54</v>
      </c>
      <c r="C66" s="136">
        <v>1.06</v>
      </c>
      <c r="D66" s="136"/>
      <c r="E66" s="136"/>
      <c r="F66" s="136"/>
      <c r="G66" s="136"/>
    </row>
    <row r="67" spans="1:7" x14ac:dyDescent="0.2">
      <c r="A67" s="134" t="s">
        <v>49</v>
      </c>
      <c r="B67" s="40" t="s">
        <v>56</v>
      </c>
      <c r="C67" s="136">
        <v>0.4</v>
      </c>
      <c r="D67" s="136" t="s">
        <v>792</v>
      </c>
      <c r="E67" s="136"/>
      <c r="F67" s="136"/>
      <c r="G67" s="136"/>
    </row>
    <row r="68" spans="1:7" x14ac:dyDescent="0.2">
      <c r="A68" s="134" t="s">
        <v>50</v>
      </c>
      <c r="B68" s="40" t="s">
        <v>55</v>
      </c>
      <c r="C68" s="136">
        <v>1.06E-2</v>
      </c>
      <c r="D68" s="136"/>
      <c r="E68" s="136"/>
      <c r="F68" s="136"/>
      <c r="G68" s="136"/>
    </row>
    <row r="69" spans="1:7" x14ac:dyDescent="0.2">
      <c r="A69" s="134" t="s">
        <v>51</v>
      </c>
      <c r="B69" s="44" t="s">
        <v>55</v>
      </c>
      <c r="C69" s="136">
        <v>2.5000000000000001E-3</v>
      </c>
      <c r="D69" s="136" t="s">
        <v>793</v>
      </c>
      <c r="E69" s="136"/>
      <c r="F69" s="136"/>
      <c r="G69" s="136"/>
    </row>
    <row r="70" spans="1:7" x14ac:dyDescent="0.2">
      <c r="A70" s="134" t="s">
        <v>52</v>
      </c>
      <c r="B70" s="10" t="s">
        <v>55</v>
      </c>
      <c r="C70" s="136">
        <v>1.35E-2</v>
      </c>
      <c r="D70" s="136" t="s">
        <v>791</v>
      </c>
      <c r="E70" s="136"/>
      <c r="F70" s="136"/>
      <c r="G70" s="136"/>
    </row>
    <row r="71" spans="1:7" x14ac:dyDescent="0.2">
      <c r="A71" s="134" t="s">
        <v>53</v>
      </c>
      <c r="B71" s="40" t="s">
        <v>57</v>
      </c>
      <c r="C71" s="136">
        <v>0.6</v>
      </c>
      <c r="D71" s="136" t="s">
        <v>794</v>
      </c>
      <c r="E71" s="136"/>
      <c r="F71" s="136"/>
      <c r="G71" s="136"/>
    </row>
    <row r="72" spans="1:7" x14ac:dyDescent="0.2">
      <c r="A72" s="134"/>
      <c r="B72" s="40"/>
      <c r="C72" s="136"/>
      <c r="D72" s="136"/>
      <c r="E72" s="136"/>
      <c r="F72" s="136"/>
      <c r="G72" s="136"/>
    </row>
    <row r="73" spans="1:7" x14ac:dyDescent="0.2">
      <c r="F73" s="13"/>
    </row>
    <row r="74" spans="1:7" x14ac:dyDescent="0.2">
      <c r="A74" s="10"/>
      <c r="C74" s="10"/>
      <c r="D74" s="10"/>
      <c r="E74" s="10"/>
      <c r="F74" s="13"/>
      <c r="G74" s="10"/>
    </row>
    <row r="75" spans="1:7" x14ac:dyDescent="0.2">
      <c r="A75" s="10"/>
      <c r="C75" s="10"/>
      <c r="D75" s="10"/>
      <c r="E75" s="10"/>
      <c r="F75" s="13"/>
      <c r="G75" s="10"/>
    </row>
    <row r="76" spans="1:7" x14ac:dyDescent="0.2">
      <c r="A76" s="10"/>
      <c r="C76" s="10"/>
      <c r="D76" s="10"/>
      <c r="E76" s="10"/>
      <c r="F76" s="34"/>
      <c r="G76" s="10"/>
    </row>
    <row r="77" spans="1:7" x14ac:dyDescent="0.2">
      <c r="A77" s="10"/>
      <c r="C77" s="10"/>
      <c r="D77" s="10"/>
      <c r="E77" s="10"/>
      <c r="F77" s="34"/>
      <c r="G77" s="10"/>
    </row>
    <row r="78" spans="1:7" x14ac:dyDescent="0.2">
      <c r="A78" s="10"/>
      <c r="C78" s="10"/>
      <c r="D78" s="10"/>
      <c r="E78" s="10"/>
      <c r="G78" s="10"/>
    </row>
    <row r="79" spans="1:7" x14ac:dyDescent="0.2">
      <c r="A79" s="10"/>
      <c r="C79" s="10"/>
      <c r="D79" s="10"/>
      <c r="E79" s="10"/>
      <c r="G79" s="10"/>
    </row>
    <row r="80" spans="1:7" x14ac:dyDescent="0.2">
      <c r="A80" s="10"/>
      <c r="C80" s="10"/>
      <c r="D80" s="10"/>
      <c r="E80" s="10"/>
      <c r="G80" s="10"/>
    </row>
    <row r="100" spans="1:2" x14ac:dyDescent="0.2">
      <c r="A100" s="50"/>
      <c r="B100" s="14"/>
    </row>
  </sheetData>
  <phoneticPr fontId="1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A55C-0EA3-4749-B49D-38DA0280FFAC}">
  <sheetPr codeName="Sheet9"/>
  <dimension ref="A1:N67"/>
  <sheetViews>
    <sheetView zoomScale="80" zoomScaleNormal="80" workbookViewId="0"/>
  </sheetViews>
  <sheetFormatPr defaultRowHeight="12.75" x14ac:dyDescent="0.2"/>
  <cols>
    <col min="2" max="13" width="6.7109375" style="52" customWidth="1"/>
    <col min="14" max="14" width="6.7109375" style="53" customWidth="1"/>
  </cols>
  <sheetData>
    <row r="1" spans="1:14" x14ac:dyDescent="0.2">
      <c r="A1" t="s">
        <v>513</v>
      </c>
    </row>
    <row r="2" spans="1:14" x14ac:dyDescent="0.2">
      <c r="A2" s="54"/>
      <c r="B2" s="55" t="s">
        <v>514</v>
      </c>
      <c r="C2" s="55" t="s">
        <v>515</v>
      </c>
      <c r="D2" s="55" t="s">
        <v>516</v>
      </c>
      <c r="E2" s="55" t="s">
        <v>517</v>
      </c>
      <c r="F2" s="55" t="s">
        <v>518</v>
      </c>
      <c r="G2" s="55" t="s">
        <v>519</v>
      </c>
      <c r="H2" s="55" t="s">
        <v>520</v>
      </c>
      <c r="I2" s="55" t="s">
        <v>521</v>
      </c>
      <c r="J2" s="55" t="s">
        <v>522</v>
      </c>
      <c r="K2" s="55" t="s">
        <v>523</v>
      </c>
      <c r="L2" s="55" t="s">
        <v>524</v>
      </c>
      <c r="M2" s="55" t="s">
        <v>525</v>
      </c>
    </row>
    <row r="3" spans="1:14" x14ac:dyDescent="0.2">
      <c r="A3" s="52">
        <v>1</v>
      </c>
      <c r="B3" s="53">
        <v>1</v>
      </c>
      <c r="C3" s="53">
        <v>32</v>
      </c>
      <c r="D3" s="53">
        <v>60</v>
      </c>
      <c r="E3" s="53">
        <v>91</v>
      </c>
      <c r="F3" s="53">
        <v>121</v>
      </c>
      <c r="G3" s="53">
        <v>152</v>
      </c>
      <c r="H3" s="53">
        <v>182</v>
      </c>
      <c r="I3" s="53">
        <v>213</v>
      </c>
      <c r="J3" s="53">
        <v>244</v>
      </c>
      <c r="K3" s="53">
        <v>274</v>
      </c>
      <c r="L3" s="53">
        <v>305</v>
      </c>
      <c r="M3" s="53">
        <v>335</v>
      </c>
      <c r="N3"/>
    </row>
    <row r="4" spans="1:14" x14ac:dyDescent="0.2">
      <c r="A4" s="52">
        <v>2</v>
      </c>
      <c r="B4" s="53">
        <v>2</v>
      </c>
      <c r="C4" s="53">
        <v>33</v>
      </c>
      <c r="D4" s="53">
        <v>61</v>
      </c>
      <c r="E4" s="53">
        <v>92</v>
      </c>
      <c r="F4" s="53">
        <v>122</v>
      </c>
      <c r="G4" s="53">
        <v>153</v>
      </c>
      <c r="H4" s="53">
        <v>183</v>
      </c>
      <c r="I4" s="53">
        <v>214</v>
      </c>
      <c r="J4" s="53">
        <v>245</v>
      </c>
      <c r="K4" s="53">
        <v>275</v>
      </c>
      <c r="L4" s="53">
        <v>306</v>
      </c>
      <c r="M4" s="53">
        <v>336</v>
      </c>
      <c r="N4"/>
    </row>
    <row r="5" spans="1:14" x14ac:dyDescent="0.2">
      <c r="A5" s="52">
        <v>3</v>
      </c>
      <c r="B5" s="53">
        <v>3</v>
      </c>
      <c r="C5" s="53">
        <v>34</v>
      </c>
      <c r="D5" s="53">
        <v>62</v>
      </c>
      <c r="E5" s="53">
        <v>93</v>
      </c>
      <c r="F5" s="53">
        <v>123</v>
      </c>
      <c r="G5" s="53">
        <v>154</v>
      </c>
      <c r="H5" s="53">
        <v>184</v>
      </c>
      <c r="I5" s="53">
        <v>215</v>
      </c>
      <c r="J5" s="53">
        <v>246</v>
      </c>
      <c r="K5" s="53">
        <v>276</v>
      </c>
      <c r="L5" s="53">
        <v>307</v>
      </c>
      <c r="M5" s="53">
        <v>337</v>
      </c>
      <c r="N5"/>
    </row>
    <row r="6" spans="1:14" x14ac:dyDescent="0.2">
      <c r="A6" s="52">
        <v>4</v>
      </c>
      <c r="B6" s="53">
        <v>4</v>
      </c>
      <c r="C6" s="53">
        <v>35</v>
      </c>
      <c r="D6" s="53">
        <v>63</v>
      </c>
      <c r="E6" s="53">
        <v>94</v>
      </c>
      <c r="F6" s="53">
        <v>124</v>
      </c>
      <c r="G6" s="53">
        <v>155</v>
      </c>
      <c r="H6" s="53">
        <v>185</v>
      </c>
      <c r="I6" s="53">
        <v>216</v>
      </c>
      <c r="J6" s="53">
        <v>247</v>
      </c>
      <c r="K6" s="53">
        <v>277</v>
      </c>
      <c r="L6" s="53">
        <v>308</v>
      </c>
      <c r="M6" s="53">
        <v>338</v>
      </c>
      <c r="N6"/>
    </row>
    <row r="7" spans="1:14" x14ac:dyDescent="0.2">
      <c r="A7" s="52">
        <v>5</v>
      </c>
      <c r="B7" s="53">
        <v>5</v>
      </c>
      <c r="C7" s="53">
        <v>36</v>
      </c>
      <c r="D7" s="53">
        <v>64</v>
      </c>
      <c r="E7" s="53">
        <v>95</v>
      </c>
      <c r="F7" s="53">
        <v>125</v>
      </c>
      <c r="G7" s="53">
        <v>156</v>
      </c>
      <c r="H7" s="53">
        <v>186</v>
      </c>
      <c r="I7" s="53">
        <v>217</v>
      </c>
      <c r="J7" s="53">
        <v>248</v>
      </c>
      <c r="K7" s="53">
        <v>278</v>
      </c>
      <c r="L7" s="53">
        <v>309</v>
      </c>
      <c r="M7" s="53">
        <v>339</v>
      </c>
      <c r="N7"/>
    </row>
    <row r="8" spans="1:14" x14ac:dyDescent="0.2">
      <c r="A8" s="52">
        <v>6</v>
      </c>
      <c r="B8" s="53">
        <v>6</v>
      </c>
      <c r="C8" s="53">
        <v>37</v>
      </c>
      <c r="D8" s="53">
        <v>65</v>
      </c>
      <c r="E8" s="53">
        <v>96</v>
      </c>
      <c r="F8" s="53">
        <v>126</v>
      </c>
      <c r="G8" s="53">
        <v>157</v>
      </c>
      <c r="H8" s="53">
        <v>187</v>
      </c>
      <c r="I8" s="53">
        <v>218</v>
      </c>
      <c r="J8" s="53">
        <v>249</v>
      </c>
      <c r="K8" s="53">
        <v>279</v>
      </c>
      <c r="L8" s="53">
        <v>310</v>
      </c>
      <c r="M8" s="53">
        <v>340</v>
      </c>
      <c r="N8"/>
    </row>
    <row r="9" spans="1:14" x14ac:dyDescent="0.2">
      <c r="A9" s="52">
        <v>7</v>
      </c>
      <c r="B9" s="53">
        <v>7</v>
      </c>
      <c r="C9" s="53">
        <v>38</v>
      </c>
      <c r="D9" s="53">
        <v>66</v>
      </c>
      <c r="E9" s="53">
        <v>97</v>
      </c>
      <c r="F9" s="53">
        <v>127</v>
      </c>
      <c r="G9" s="53">
        <v>158</v>
      </c>
      <c r="H9" s="53">
        <v>188</v>
      </c>
      <c r="I9" s="53">
        <v>219</v>
      </c>
      <c r="J9" s="53">
        <v>250</v>
      </c>
      <c r="K9" s="53">
        <v>280</v>
      </c>
      <c r="L9" s="53">
        <v>311</v>
      </c>
      <c r="M9" s="53">
        <v>341</v>
      </c>
      <c r="N9"/>
    </row>
    <row r="10" spans="1:14" x14ac:dyDescent="0.2">
      <c r="A10" s="52">
        <v>8</v>
      </c>
      <c r="B10" s="53">
        <v>8</v>
      </c>
      <c r="C10" s="53">
        <v>39</v>
      </c>
      <c r="D10" s="53">
        <v>67</v>
      </c>
      <c r="E10" s="53">
        <v>98</v>
      </c>
      <c r="F10" s="53">
        <v>128</v>
      </c>
      <c r="G10" s="53">
        <v>159</v>
      </c>
      <c r="H10" s="53">
        <v>189</v>
      </c>
      <c r="I10" s="53">
        <v>220</v>
      </c>
      <c r="J10" s="53">
        <v>251</v>
      </c>
      <c r="K10" s="53">
        <v>281</v>
      </c>
      <c r="L10" s="53">
        <v>312</v>
      </c>
      <c r="M10" s="53">
        <v>342</v>
      </c>
      <c r="N10"/>
    </row>
    <row r="11" spans="1:14" x14ac:dyDescent="0.2">
      <c r="A11" s="52">
        <v>9</v>
      </c>
      <c r="B11" s="53">
        <v>9</v>
      </c>
      <c r="C11" s="53">
        <v>40</v>
      </c>
      <c r="D11" s="53">
        <v>68</v>
      </c>
      <c r="E11" s="53">
        <v>99</v>
      </c>
      <c r="F11" s="53">
        <v>129</v>
      </c>
      <c r="G11" s="53">
        <v>160</v>
      </c>
      <c r="H11" s="53">
        <v>190</v>
      </c>
      <c r="I11" s="53">
        <v>221</v>
      </c>
      <c r="J11" s="53">
        <v>252</v>
      </c>
      <c r="K11" s="53">
        <v>282</v>
      </c>
      <c r="L11" s="53">
        <v>313</v>
      </c>
      <c r="M11" s="53">
        <v>343</v>
      </c>
      <c r="N11"/>
    </row>
    <row r="12" spans="1:14" x14ac:dyDescent="0.2">
      <c r="A12" s="52">
        <v>10</v>
      </c>
      <c r="B12" s="53">
        <v>10</v>
      </c>
      <c r="C12" s="53">
        <v>41</v>
      </c>
      <c r="D12" s="53">
        <v>69</v>
      </c>
      <c r="E12" s="53">
        <v>100</v>
      </c>
      <c r="F12" s="53">
        <v>130</v>
      </c>
      <c r="G12" s="53">
        <v>161</v>
      </c>
      <c r="H12" s="53">
        <v>191</v>
      </c>
      <c r="I12" s="53">
        <v>222</v>
      </c>
      <c r="J12" s="53">
        <v>253</v>
      </c>
      <c r="K12" s="53">
        <v>283</v>
      </c>
      <c r="L12" s="53">
        <v>314</v>
      </c>
      <c r="M12" s="53">
        <v>344</v>
      </c>
      <c r="N12"/>
    </row>
    <row r="13" spans="1:14" x14ac:dyDescent="0.2">
      <c r="A13" s="52">
        <v>11</v>
      </c>
      <c r="B13" s="53">
        <v>11</v>
      </c>
      <c r="C13" s="53">
        <v>42</v>
      </c>
      <c r="D13" s="53">
        <v>70</v>
      </c>
      <c r="E13" s="53">
        <v>101</v>
      </c>
      <c r="F13" s="53">
        <v>131</v>
      </c>
      <c r="G13" s="53">
        <v>162</v>
      </c>
      <c r="H13" s="53">
        <v>192</v>
      </c>
      <c r="I13" s="53">
        <v>223</v>
      </c>
      <c r="J13" s="53">
        <v>254</v>
      </c>
      <c r="K13" s="53">
        <v>284</v>
      </c>
      <c r="L13" s="53">
        <v>315</v>
      </c>
      <c r="M13" s="53">
        <v>345</v>
      </c>
      <c r="N13"/>
    </row>
    <row r="14" spans="1:14" x14ac:dyDescent="0.2">
      <c r="A14" s="52">
        <v>12</v>
      </c>
      <c r="B14" s="53">
        <v>12</v>
      </c>
      <c r="C14" s="53">
        <v>43</v>
      </c>
      <c r="D14" s="53">
        <v>71</v>
      </c>
      <c r="E14" s="53">
        <v>102</v>
      </c>
      <c r="F14" s="53">
        <v>132</v>
      </c>
      <c r="G14" s="53">
        <v>163</v>
      </c>
      <c r="H14" s="53">
        <v>193</v>
      </c>
      <c r="I14" s="53">
        <v>224</v>
      </c>
      <c r="J14" s="53">
        <v>255</v>
      </c>
      <c r="K14" s="53">
        <v>285</v>
      </c>
      <c r="L14" s="53">
        <v>316</v>
      </c>
      <c r="M14" s="53">
        <v>346</v>
      </c>
      <c r="N14"/>
    </row>
    <row r="15" spans="1:14" x14ac:dyDescent="0.2">
      <c r="A15" s="52">
        <v>13</v>
      </c>
      <c r="B15" s="53">
        <v>13</v>
      </c>
      <c r="C15" s="53">
        <v>44</v>
      </c>
      <c r="D15" s="53">
        <v>72</v>
      </c>
      <c r="E15" s="53">
        <v>103</v>
      </c>
      <c r="F15" s="53">
        <v>133</v>
      </c>
      <c r="G15" s="53">
        <v>164</v>
      </c>
      <c r="H15" s="53">
        <v>194</v>
      </c>
      <c r="I15" s="53">
        <v>225</v>
      </c>
      <c r="J15" s="53">
        <v>256</v>
      </c>
      <c r="K15" s="53">
        <v>286</v>
      </c>
      <c r="L15" s="53">
        <v>317</v>
      </c>
      <c r="M15" s="53">
        <v>347</v>
      </c>
      <c r="N15"/>
    </row>
    <row r="16" spans="1:14" x14ac:dyDescent="0.2">
      <c r="A16" s="52">
        <v>14</v>
      </c>
      <c r="B16" s="53">
        <v>14</v>
      </c>
      <c r="C16" s="53">
        <v>45</v>
      </c>
      <c r="D16" s="53">
        <v>73</v>
      </c>
      <c r="E16" s="53">
        <v>104</v>
      </c>
      <c r="F16" s="53">
        <v>134</v>
      </c>
      <c r="G16" s="53">
        <v>165</v>
      </c>
      <c r="H16" s="53">
        <v>195</v>
      </c>
      <c r="I16" s="53">
        <v>226</v>
      </c>
      <c r="J16" s="53">
        <v>257</v>
      </c>
      <c r="K16" s="53">
        <v>287</v>
      </c>
      <c r="L16" s="53">
        <v>318</v>
      </c>
      <c r="M16" s="53">
        <v>348</v>
      </c>
      <c r="N16"/>
    </row>
    <row r="17" spans="1:14" x14ac:dyDescent="0.2">
      <c r="A17" s="52">
        <v>15</v>
      </c>
      <c r="B17" s="53">
        <v>15</v>
      </c>
      <c r="C17" s="53">
        <v>46</v>
      </c>
      <c r="D17" s="53">
        <v>74</v>
      </c>
      <c r="E17" s="53">
        <v>105</v>
      </c>
      <c r="F17" s="53">
        <v>135</v>
      </c>
      <c r="G17" s="53">
        <v>166</v>
      </c>
      <c r="H17" s="53">
        <v>196</v>
      </c>
      <c r="I17" s="53">
        <v>227</v>
      </c>
      <c r="J17" s="53">
        <v>258</v>
      </c>
      <c r="K17" s="53">
        <v>288</v>
      </c>
      <c r="L17" s="53">
        <v>319</v>
      </c>
      <c r="M17" s="53">
        <v>349</v>
      </c>
      <c r="N17"/>
    </row>
    <row r="18" spans="1:14" x14ac:dyDescent="0.2">
      <c r="A18" s="52">
        <v>16</v>
      </c>
      <c r="B18" s="53">
        <v>16</v>
      </c>
      <c r="C18" s="53">
        <v>47</v>
      </c>
      <c r="D18" s="53">
        <v>75</v>
      </c>
      <c r="E18" s="53">
        <v>106</v>
      </c>
      <c r="F18" s="53">
        <v>136</v>
      </c>
      <c r="G18" s="53">
        <v>167</v>
      </c>
      <c r="H18" s="53">
        <v>197</v>
      </c>
      <c r="I18" s="53">
        <v>228</v>
      </c>
      <c r="J18" s="53">
        <v>259</v>
      </c>
      <c r="K18" s="53">
        <v>289</v>
      </c>
      <c r="L18" s="53">
        <v>320</v>
      </c>
      <c r="M18" s="53">
        <v>350</v>
      </c>
      <c r="N18"/>
    </row>
    <row r="19" spans="1:14" x14ac:dyDescent="0.2">
      <c r="A19" s="52">
        <v>17</v>
      </c>
      <c r="B19" s="53">
        <v>17</v>
      </c>
      <c r="C19" s="53">
        <v>48</v>
      </c>
      <c r="D19" s="53">
        <v>76</v>
      </c>
      <c r="E19" s="53">
        <v>107</v>
      </c>
      <c r="F19" s="53">
        <v>137</v>
      </c>
      <c r="G19" s="53">
        <v>168</v>
      </c>
      <c r="H19" s="53">
        <v>198</v>
      </c>
      <c r="I19" s="53">
        <v>229</v>
      </c>
      <c r="J19" s="53">
        <v>260</v>
      </c>
      <c r="K19" s="53">
        <v>290</v>
      </c>
      <c r="L19" s="53">
        <v>321</v>
      </c>
      <c r="M19" s="53">
        <v>351</v>
      </c>
      <c r="N19"/>
    </row>
    <row r="20" spans="1:14" x14ac:dyDescent="0.2">
      <c r="A20" s="52">
        <v>18</v>
      </c>
      <c r="B20" s="53">
        <v>18</v>
      </c>
      <c r="C20" s="53">
        <v>49</v>
      </c>
      <c r="D20" s="53">
        <v>77</v>
      </c>
      <c r="E20" s="53">
        <v>108</v>
      </c>
      <c r="F20" s="53">
        <v>138</v>
      </c>
      <c r="G20" s="53">
        <v>169</v>
      </c>
      <c r="H20" s="53">
        <v>199</v>
      </c>
      <c r="I20" s="53">
        <v>230</v>
      </c>
      <c r="J20" s="53">
        <v>261</v>
      </c>
      <c r="K20" s="53">
        <v>291</v>
      </c>
      <c r="L20" s="53">
        <v>322</v>
      </c>
      <c r="M20" s="53">
        <v>352</v>
      </c>
      <c r="N20"/>
    </row>
    <row r="21" spans="1:14" x14ac:dyDescent="0.2">
      <c r="A21" s="52">
        <v>19</v>
      </c>
      <c r="B21" s="53">
        <v>19</v>
      </c>
      <c r="C21" s="53">
        <v>50</v>
      </c>
      <c r="D21" s="53">
        <v>78</v>
      </c>
      <c r="E21" s="53">
        <v>109</v>
      </c>
      <c r="F21" s="53">
        <v>139</v>
      </c>
      <c r="G21" s="53">
        <v>170</v>
      </c>
      <c r="H21" s="53">
        <v>200</v>
      </c>
      <c r="I21" s="53">
        <v>231</v>
      </c>
      <c r="J21" s="53">
        <v>262</v>
      </c>
      <c r="K21" s="53">
        <v>292</v>
      </c>
      <c r="L21" s="53">
        <v>323</v>
      </c>
      <c r="M21" s="53">
        <v>353</v>
      </c>
      <c r="N21"/>
    </row>
    <row r="22" spans="1:14" x14ac:dyDescent="0.2">
      <c r="A22" s="52">
        <v>20</v>
      </c>
      <c r="B22" s="53">
        <v>20</v>
      </c>
      <c r="C22" s="53">
        <v>51</v>
      </c>
      <c r="D22" s="53">
        <v>79</v>
      </c>
      <c r="E22" s="53">
        <v>110</v>
      </c>
      <c r="F22" s="53">
        <v>140</v>
      </c>
      <c r="G22" s="53">
        <v>171</v>
      </c>
      <c r="H22" s="53">
        <v>201</v>
      </c>
      <c r="I22" s="53">
        <v>232</v>
      </c>
      <c r="J22" s="53">
        <v>263</v>
      </c>
      <c r="K22" s="53">
        <v>293</v>
      </c>
      <c r="L22" s="53">
        <v>324</v>
      </c>
      <c r="M22" s="53">
        <v>354</v>
      </c>
      <c r="N22"/>
    </row>
    <row r="23" spans="1:14" x14ac:dyDescent="0.2">
      <c r="A23" s="52">
        <v>21</v>
      </c>
      <c r="B23" s="53">
        <v>21</v>
      </c>
      <c r="C23" s="53">
        <v>52</v>
      </c>
      <c r="D23" s="53">
        <v>80</v>
      </c>
      <c r="E23" s="53">
        <v>111</v>
      </c>
      <c r="F23" s="53">
        <v>141</v>
      </c>
      <c r="G23" s="53">
        <v>172</v>
      </c>
      <c r="H23" s="53">
        <v>202</v>
      </c>
      <c r="I23" s="53">
        <v>233</v>
      </c>
      <c r="J23" s="53">
        <v>264</v>
      </c>
      <c r="K23" s="53">
        <v>294</v>
      </c>
      <c r="L23" s="53">
        <v>325</v>
      </c>
      <c r="M23" s="53">
        <v>355</v>
      </c>
      <c r="N23"/>
    </row>
    <row r="24" spans="1:14" x14ac:dyDescent="0.2">
      <c r="A24" s="52">
        <v>22</v>
      </c>
      <c r="B24" s="53">
        <v>22</v>
      </c>
      <c r="C24" s="53">
        <v>53</v>
      </c>
      <c r="D24" s="53">
        <v>81</v>
      </c>
      <c r="E24" s="53">
        <v>112</v>
      </c>
      <c r="F24" s="53">
        <v>142</v>
      </c>
      <c r="G24" s="53">
        <v>173</v>
      </c>
      <c r="H24" s="53">
        <v>203</v>
      </c>
      <c r="I24" s="53">
        <v>234</v>
      </c>
      <c r="J24" s="53">
        <v>265</v>
      </c>
      <c r="K24" s="53">
        <v>295</v>
      </c>
      <c r="L24" s="53">
        <v>326</v>
      </c>
      <c r="M24" s="53">
        <v>356</v>
      </c>
      <c r="N24"/>
    </row>
    <row r="25" spans="1:14" x14ac:dyDescent="0.2">
      <c r="A25" s="52">
        <v>23</v>
      </c>
      <c r="B25" s="53">
        <v>23</v>
      </c>
      <c r="C25" s="53">
        <v>54</v>
      </c>
      <c r="D25" s="53">
        <v>82</v>
      </c>
      <c r="E25" s="53">
        <v>113</v>
      </c>
      <c r="F25" s="53">
        <v>143</v>
      </c>
      <c r="G25" s="53">
        <v>174</v>
      </c>
      <c r="H25" s="53">
        <v>204</v>
      </c>
      <c r="I25" s="53">
        <v>235</v>
      </c>
      <c r="J25" s="53">
        <v>266</v>
      </c>
      <c r="K25" s="53">
        <v>296</v>
      </c>
      <c r="L25" s="53">
        <v>327</v>
      </c>
      <c r="M25" s="53">
        <v>357</v>
      </c>
      <c r="N25"/>
    </row>
    <row r="26" spans="1:14" x14ac:dyDescent="0.2">
      <c r="A26" s="52">
        <v>24</v>
      </c>
      <c r="B26" s="53">
        <v>24</v>
      </c>
      <c r="C26" s="53">
        <v>55</v>
      </c>
      <c r="D26" s="53">
        <v>83</v>
      </c>
      <c r="E26" s="53">
        <v>114</v>
      </c>
      <c r="F26" s="53">
        <v>144</v>
      </c>
      <c r="G26" s="53">
        <v>175</v>
      </c>
      <c r="H26" s="53">
        <v>205</v>
      </c>
      <c r="I26" s="53">
        <v>236</v>
      </c>
      <c r="J26" s="53">
        <v>267</v>
      </c>
      <c r="K26" s="53">
        <v>297</v>
      </c>
      <c r="L26" s="53">
        <v>328</v>
      </c>
      <c r="M26" s="53">
        <v>358</v>
      </c>
      <c r="N26"/>
    </row>
    <row r="27" spans="1:14" x14ac:dyDescent="0.2">
      <c r="A27" s="52">
        <v>25</v>
      </c>
      <c r="B27" s="53">
        <v>25</v>
      </c>
      <c r="C27" s="53">
        <v>56</v>
      </c>
      <c r="D27" s="53">
        <v>84</v>
      </c>
      <c r="E27" s="53">
        <v>115</v>
      </c>
      <c r="F27" s="53">
        <v>145</v>
      </c>
      <c r="G27" s="53">
        <v>176</v>
      </c>
      <c r="H27" s="53">
        <v>206</v>
      </c>
      <c r="I27" s="53">
        <v>237</v>
      </c>
      <c r="J27" s="53">
        <v>268</v>
      </c>
      <c r="K27" s="53">
        <v>298</v>
      </c>
      <c r="L27" s="53">
        <v>329</v>
      </c>
      <c r="M27" s="53">
        <v>359</v>
      </c>
      <c r="N27"/>
    </row>
    <row r="28" spans="1:14" x14ac:dyDescent="0.2">
      <c r="A28" s="52">
        <v>26</v>
      </c>
      <c r="B28" s="53">
        <v>26</v>
      </c>
      <c r="C28" s="53">
        <v>57</v>
      </c>
      <c r="D28" s="53">
        <v>85</v>
      </c>
      <c r="E28" s="53">
        <v>116</v>
      </c>
      <c r="F28" s="53">
        <v>146</v>
      </c>
      <c r="G28" s="53">
        <v>177</v>
      </c>
      <c r="H28" s="53">
        <v>207</v>
      </c>
      <c r="I28" s="53">
        <v>238</v>
      </c>
      <c r="J28" s="53">
        <v>269</v>
      </c>
      <c r="K28" s="53">
        <v>299</v>
      </c>
      <c r="L28" s="53">
        <v>330</v>
      </c>
      <c r="M28" s="53">
        <v>360</v>
      </c>
      <c r="N28"/>
    </row>
    <row r="29" spans="1:14" x14ac:dyDescent="0.2">
      <c r="A29" s="52">
        <v>27</v>
      </c>
      <c r="B29" s="53">
        <v>27</v>
      </c>
      <c r="C29" s="53">
        <v>58</v>
      </c>
      <c r="D29" s="53">
        <v>86</v>
      </c>
      <c r="E29" s="53">
        <v>117</v>
      </c>
      <c r="F29" s="53">
        <v>147</v>
      </c>
      <c r="G29" s="53">
        <v>178</v>
      </c>
      <c r="H29" s="53">
        <v>208</v>
      </c>
      <c r="I29" s="53">
        <v>239</v>
      </c>
      <c r="J29" s="53">
        <v>270</v>
      </c>
      <c r="K29" s="53">
        <v>300</v>
      </c>
      <c r="L29" s="53">
        <v>331</v>
      </c>
      <c r="M29" s="53">
        <v>361</v>
      </c>
      <c r="N29"/>
    </row>
    <row r="30" spans="1:14" x14ac:dyDescent="0.2">
      <c r="A30" s="52">
        <v>28</v>
      </c>
      <c r="B30" s="53">
        <v>28</v>
      </c>
      <c r="C30" s="53">
        <v>59</v>
      </c>
      <c r="D30" s="53">
        <v>87</v>
      </c>
      <c r="E30" s="53">
        <v>118</v>
      </c>
      <c r="F30" s="53">
        <v>148</v>
      </c>
      <c r="G30" s="53">
        <v>179</v>
      </c>
      <c r="H30" s="53">
        <v>209</v>
      </c>
      <c r="I30" s="53">
        <v>240</v>
      </c>
      <c r="J30" s="53">
        <v>271</v>
      </c>
      <c r="K30" s="53">
        <v>301</v>
      </c>
      <c r="L30" s="53">
        <v>332</v>
      </c>
      <c r="M30" s="53">
        <v>362</v>
      </c>
      <c r="N30"/>
    </row>
    <row r="31" spans="1:14" x14ac:dyDescent="0.2">
      <c r="A31" s="52">
        <v>29</v>
      </c>
      <c r="B31" s="53">
        <v>29</v>
      </c>
      <c r="C31" s="53"/>
      <c r="D31" s="53">
        <v>88</v>
      </c>
      <c r="E31" s="53">
        <v>119</v>
      </c>
      <c r="F31" s="53">
        <v>149</v>
      </c>
      <c r="G31" s="53">
        <v>180</v>
      </c>
      <c r="H31" s="53">
        <v>210</v>
      </c>
      <c r="I31" s="53">
        <v>241</v>
      </c>
      <c r="J31" s="53">
        <v>272</v>
      </c>
      <c r="K31" s="53">
        <v>302</v>
      </c>
      <c r="L31" s="53">
        <v>333</v>
      </c>
      <c r="M31" s="53">
        <v>363</v>
      </c>
      <c r="N31"/>
    </row>
    <row r="32" spans="1:14" x14ac:dyDescent="0.2">
      <c r="A32" s="52">
        <v>30</v>
      </c>
      <c r="B32" s="53">
        <v>30</v>
      </c>
      <c r="C32" s="53"/>
      <c r="D32" s="53">
        <v>89</v>
      </c>
      <c r="E32" s="53">
        <v>120</v>
      </c>
      <c r="F32" s="53">
        <v>150</v>
      </c>
      <c r="G32" s="53">
        <v>181</v>
      </c>
      <c r="H32" s="53">
        <v>211</v>
      </c>
      <c r="I32" s="53">
        <v>242</v>
      </c>
      <c r="J32" s="53">
        <v>273</v>
      </c>
      <c r="K32" s="53">
        <v>303</v>
      </c>
      <c r="L32" s="53">
        <v>334</v>
      </c>
      <c r="M32" s="53">
        <v>364</v>
      </c>
      <c r="N32"/>
    </row>
    <row r="33" spans="1:14" x14ac:dyDescent="0.2">
      <c r="A33" s="56">
        <v>31</v>
      </c>
      <c r="B33" s="57">
        <v>31</v>
      </c>
      <c r="C33" s="57"/>
      <c r="D33" s="57">
        <v>90</v>
      </c>
      <c r="E33" s="57"/>
      <c r="F33" s="57">
        <v>151</v>
      </c>
      <c r="G33" s="57"/>
      <c r="H33" s="57">
        <v>212</v>
      </c>
      <c r="I33" s="57">
        <v>243</v>
      </c>
      <c r="J33" s="57"/>
      <c r="K33" s="57">
        <v>304</v>
      </c>
      <c r="L33" s="57"/>
      <c r="M33" s="57">
        <v>365</v>
      </c>
      <c r="N33"/>
    </row>
    <row r="34" spans="1:14" x14ac:dyDescent="0.2"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/>
    </row>
    <row r="35" spans="1:14" x14ac:dyDescent="0.2">
      <c r="A35" t="s">
        <v>526</v>
      </c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</row>
    <row r="36" spans="1:14" x14ac:dyDescent="0.2">
      <c r="A36" s="54"/>
      <c r="B36" s="59" t="s">
        <v>514</v>
      </c>
      <c r="C36" s="59" t="s">
        <v>515</v>
      </c>
      <c r="D36" s="59" t="s">
        <v>516</v>
      </c>
      <c r="E36" s="59" t="s">
        <v>517</v>
      </c>
      <c r="F36" s="59" t="s">
        <v>518</v>
      </c>
      <c r="G36" s="59" t="s">
        <v>519</v>
      </c>
      <c r="H36" s="59" t="s">
        <v>520</v>
      </c>
      <c r="I36" s="59" t="s">
        <v>521</v>
      </c>
      <c r="J36" s="59" t="s">
        <v>522</v>
      </c>
      <c r="K36" s="59" t="s">
        <v>523</v>
      </c>
      <c r="L36" s="59" t="s">
        <v>524</v>
      </c>
      <c r="M36" s="59" t="s">
        <v>525</v>
      </c>
    </row>
    <row r="37" spans="1:14" x14ac:dyDescent="0.2">
      <c r="A37" s="58">
        <v>1</v>
      </c>
      <c r="B37" s="60">
        <v>1</v>
      </c>
      <c r="C37" s="3">
        <v>32</v>
      </c>
      <c r="D37" s="3">
        <v>61</v>
      </c>
      <c r="E37" s="3">
        <v>92</v>
      </c>
      <c r="F37" s="3">
        <v>122</v>
      </c>
      <c r="G37" s="3">
        <v>153</v>
      </c>
      <c r="H37" s="3">
        <v>183</v>
      </c>
      <c r="I37" s="3">
        <v>214</v>
      </c>
      <c r="J37" s="3">
        <v>245</v>
      </c>
      <c r="K37" s="3">
        <v>275</v>
      </c>
      <c r="L37" s="3">
        <v>306</v>
      </c>
      <c r="M37" s="3">
        <v>336</v>
      </c>
    </row>
    <row r="38" spans="1:14" x14ac:dyDescent="0.2">
      <c r="A38" s="58">
        <v>2</v>
      </c>
      <c r="B38" s="60">
        <v>2</v>
      </c>
      <c r="C38" s="3">
        <v>33</v>
      </c>
      <c r="D38" s="3">
        <v>62</v>
      </c>
      <c r="E38" s="3">
        <v>93</v>
      </c>
      <c r="F38" s="3">
        <v>123</v>
      </c>
      <c r="G38" s="3">
        <v>154</v>
      </c>
      <c r="H38" s="3">
        <v>184</v>
      </c>
      <c r="I38" s="3">
        <v>215</v>
      </c>
      <c r="J38" s="3">
        <v>246</v>
      </c>
      <c r="K38" s="3">
        <v>276</v>
      </c>
      <c r="L38" s="3">
        <v>307</v>
      </c>
      <c r="M38" s="3">
        <v>337</v>
      </c>
    </row>
    <row r="39" spans="1:14" x14ac:dyDescent="0.2">
      <c r="A39" s="58">
        <v>3</v>
      </c>
      <c r="B39" s="60">
        <v>3</v>
      </c>
      <c r="C39" s="3">
        <v>34</v>
      </c>
      <c r="D39" s="3">
        <v>63</v>
      </c>
      <c r="E39" s="3">
        <v>94</v>
      </c>
      <c r="F39" s="3">
        <v>124</v>
      </c>
      <c r="G39" s="3">
        <v>155</v>
      </c>
      <c r="H39" s="3">
        <v>185</v>
      </c>
      <c r="I39" s="3">
        <v>216</v>
      </c>
      <c r="J39" s="3">
        <v>247</v>
      </c>
      <c r="K39" s="3">
        <v>277</v>
      </c>
      <c r="L39" s="3">
        <v>308</v>
      </c>
      <c r="M39" s="3">
        <v>338</v>
      </c>
    </row>
    <row r="40" spans="1:14" x14ac:dyDescent="0.2">
      <c r="A40" s="58">
        <v>4</v>
      </c>
      <c r="B40" s="60">
        <v>4</v>
      </c>
      <c r="C40" s="3">
        <v>35</v>
      </c>
      <c r="D40" s="3">
        <v>64</v>
      </c>
      <c r="E40" s="3">
        <v>95</v>
      </c>
      <c r="F40" s="3">
        <v>125</v>
      </c>
      <c r="G40" s="3">
        <v>156</v>
      </c>
      <c r="H40" s="3">
        <v>186</v>
      </c>
      <c r="I40" s="3">
        <v>217</v>
      </c>
      <c r="J40" s="3">
        <v>248</v>
      </c>
      <c r="K40" s="3">
        <v>278</v>
      </c>
      <c r="L40" s="3">
        <v>309</v>
      </c>
      <c r="M40" s="3">
        <v>339</v>
      </c>
    </row>
    <row r="41" spans="1:14" x14ac:dyDescent="0.2">
      <c r="A41" s="58">
        <v>5</v>
      </c>
      <c r="B41" s="60">
        <v>5</v>
      </c>
      <c r="C41" s="3">
        <v>36</v>
      </c>
      <c r="D41" s="3">
        <v>65</v>
      </c>
      <c r="E41" s="3">
        <v>96</v>
      </c>
      <c r="F41" s="3">
        <v>126</v>
      </c>
      <c r="G41" s="3">
        <v>157</v>
      </c>
      <c r="H41" s="3">
        <v>187</v>
      </c>
      <c r="I41" s="3">
        <v>218</v>
      </c>
      <c r="J41" s="3">
        <v>249</v>
      </c>
      <c r="K41" s="3">
        <v>279</v>
      </c>
      <c r="L41" s="3">
        <v>310</v>
      </c>
      <c r="M41" s="3">
        <v>340</v>
      </c>
    </row>
    <row r="42" spans="1:14" x14ac:dyDescent="0.2">
      <c r="A42" s="58">
        <v>6</v>
      </c>
      <c r="B42" s="60">
        <v>6</v>
      </c>
      <c r="C42" s="3">
        <v>37</v>
      </c>
      <c r="D42" s="3">
        <v>66</v>
      </c>
      <c r="E42" s="3">
        <v>97</v>
      </c>
      <c r="F42" s="3">
        <v>127</v>
      </c>
      <c r="G42" s="3">
        <v>158</v>
      </c>
      <c r="H42" s="3">
        <v>188</v>
      </c>
      <c r="I42" s="3">
        <v>219</v>
      </c>
      <c r="J42" s="3">
        <v>250</v>
      </c>
      <c r="K42" s="3">
        <v>280</v>
      </c>
      <c r="L42" s="3">
        <v>311</v>
      </c>
      <c r="M42" s="3">
        <v>341</v>
      </c>
    </row>
    <row r="43" spans="1:14" x14ac:dyDescent="0.2">
      <c r="A43" s="58">
        <v>7</v>
      </c>
      <c r="B43" s="60">
        <v>7</v>
      </c>
      <c r="C43" s="3">
        <v>38</v>
      </c>
      <c r="D43" s="3">
        <v>67</v>
      </c>
      <c r="E43" s="3">
        <v>98</v>
      </c>
      <c r="F43" s="3">
        <v>128</v>
      </c>
      <c r="G43" s="3">
        <v>159</v>
      </c>
      <c r="H43" s="3">
        <v>189</v>
      </c>
      <c r="I43" s="3">
        <v>220</v>
      </c>
      <c r="J43" s="3">
        <v>251</v>
      </c>
      <c r="K43" s="3">
        <v>281</v>
      </c>
      <c r="L43" s="3">
        <v>312</v>
      </c>
      <c r="M43" s="3">
        <v>342</v>
      </c>
    </row>
    <row r="44" spans="1:14" x14ac:dyDescent="0.2">
      <c r="A44" s="58">
        <v>8</v>
      </c>
      <c r="B44" s="60">
        <v>8</v>
      </c>
      <c r="C44" s="3">
        <v>39</v>
      </c>
      <c r="D44" s="3">
        <v>68</v>
      </c>
      <c r="E44" s="3">
        <v>99</v>
      </c>
      <c r="F44" s="3">
        <v>129</v>
      </c>
      <c r="G44" s="3">
        <v>160</v>
      </c>
      <c r="H44" s="3">
        <v>190</v>
      </c>
      <c r="I44" s="3">
        <v>221</v>
      </c>
      <c r="J44" s="3">
        <v>252</v>
      </c>
      <c r="K44" s="3">
        <v>282</v>
      </c>
      <c r="L44" s="3">
        <v>313</v>
      </c>
      <c r="M44" s="3">
        <v>343</v>
      </c>
    </row>
    <row r="45" spans="1:14" x14ac:dyDescent="0.2">
      <c r="A45" s="58">
        <v>9</v>
      </c>
      <c r="B45" s="60">
        <v>9</v>
      </c>
      <c r="C45" s="3">
        <v>40</v>
      </c>
      <c r="D45" s="3">
        <v>69</v>
      </c>
      <c r="E45" s="3">
        <v>100</v>
      </c>
      <c r="F45" s="3">
        <v>130</v>
      </c>
      <c r="G45" s="3">
        <v>161</v>
      </c>
      <c r="H45" s="3">
        <v>191</v>
      </c>
      <c r="I45" s="3">
        <v>222</v>
      </c>
      <c r="J45" s="3">
        <v>253</v>
      </c>
      <c r="K45" s="3">
        <v>283</v>
      </c>
      <c r="L45" s="3">
        <v>314</v>
      </c>
      <c r="M45" s="3">
        <v>344</v>
      </c>
    </row>
    <row r="46" spans="1:14" x14ac:dyDescent="0.2">
      <c r="A46" s="58">
        <v>10</v>
      </c>
      <c r="B46" s="60">
        <v>10</v>
      </c>
      <c r="C46" s="3">
        <v>41</v>
      </c>
      <c r="D46" s="3">
        <v>70</v>
      </c>
      <c r="E46" s="3">
        <v>101</v>
      </c>
      <c r="F46" s="3">
        <v>131</v>
      </c>
      <c r="G46" s="3">
        <v>162</v>
      </c>
      <c r="H46" s="3">
        <v>192</v>
      </c>
      <c r="I46" s="3">
        <v>223</v>
      </c>
      <c r="J46" s="3">
        <v>254</v>
      </c>
      <c r="K46" s="3">
        <v>284</v>
      </c>
      <c r="L46" s="3">
        <v>315</v>
      </c>
      <c r="M46" s="3">
        <v>345</v>
      </c>
    </row>
    <row r="47" spans="1:14" x14ac:dyDescent="0.2">
      <c r="A47" s="58">
        <v>11</v>
      </c>
      <c r="B47" s="60">
        <v>11</v>
      </c>
      <c r="C47" s="3">
        <v>42</v>
      </c>
      <c r="D47" s="3">
        <v>71</v>
      </c>
      <c r="E47" s="3">
        <v>102</v>
      </c>
      <c r="F47" s="3">
        <v>132</v>
      </c>
      <c r="G47" s="3">
        <v>163</v>
      </c>
      <c r="H47" s="3">
        <v>193</v>
      </c>
      <c r="I47" s="3">
        <v>224</v>
      </c>
      <c r="J47" s="3">
        <v>255</v>
      </c>
      <c r="K47" s="3">
        <v>285</v>
      </c>
      <c r="L47" s="3">
        <v>316</v>
      </c>
      <c r="M47" s="3">
        <v>346</v>
      </c>
    </row>
    <row r="48" spans="1:14" x14ac:dyDescent="0.2">
      <c r="A48" s="58">
        <v>12</v>
      </c>
      <c r="B48" s="60">
        <v>12</v>
      </c>
      <c r="C48" s="3">
        <v>43</v>
      </c>
      <c r="D48" s="3">
        <v>72</v>
      </c>
      <c r="E48" s="3">
        <v>103</v>
      </c>
      <c r="F48" s="3">
        <v>133</v>
      </c>
      <c r="G48" s="3">
        <v>164</v>
      </c>
      <c r="H48" s="3">
        <v>194</v>
      </c>
      <c r="I48" s="3">
        <v>225</v>
      </c>
      <c r="J48" s="3">
        <v>256</v>
      </c>
      <c r="K48" s="3">
        <v>286</v>
      </c>
      <c r="L48" s="3">
        <v>317</v>
      </c>
      <c r="M48" s="3">
        <v>347</v>
      </c>
    </row>
    <row r="49" spans="1:13" x14ac:dyDescent="0.2">
      <c r="A49" s="58">
        <v>13</v>
      </c>
      <c r="B49" s="60">
        <v>13</v>
      </c>
      <c r="C49" s="3">
        <v>44</v>
      </c>
      <c r="D49" s="3">
        <v>73</v>
      </c>
      <c r="E49" s="3">
        <v>104</v>
      </c>
      <c r="F49" s="3">
        <v>134</v>
      </c>
      <c r="G49" s="3">
        <v>165</v>
      </c>
      <c r="H49" s="3">
        <v>195</v>
      </c>
      <c r="I49" s="3">
        <v>226</v>
      </c>
      <c r="J49" s="3">
        <v>257</v>
      </c>
      <c r="K49" s="3">
        <v>287</v>
      </c>
      <c r="L49" s="3">
        <v>318</v>
      </c>
      <c r="M49" s="3">
        <v>348</v>
      </c>
    </row>
    <row r="50" spans="1:13" x14ac:dyDescent="0.2">
      <c r="A50" s="58">
        <v>14</v>
      </c>
      <c r="B50" s="60">
        <v>14</v>
      </c>
      <c r="C50" s="3">
        <v>45</v>
      </c>
      <c r="D50" s="3">
        <v>74</v>
      </c>
      <c r="E50" s="3">
        <v>105</v>
      </c>
      <c r="F50" s="3">
        <v>135</v>
      </c>
      <c r="G50" s="3">
        <v>166</v>
      </c>
      <c r="H50" s="3">
        <v>196</v>
      </c>
      <c r="I50" s="3">
        <v>227</v>
      </c>
      <c r="J50" s="3">
        <v>258</v>
      </c>
      <c r="K50" s="3">
        <v>288</v>
      </c>
      <c r="L50" s="3">
        <v>319</v>
      </c>
      <c r="M50" s="3">
        <v>349</v>
      </c>
    </row>
    <row r="51" spans="1:13" x14ac:dyDescent="0.2">
      <c r="A51" s="58">
        <v>15</v>
      </c>
      <c r="B51" s="60">
        <v>15</v>
      </c>
      <c r="C51" s="3">
        <v>46</v>
      </c>
      <c r="D51" s="3">
        <v>75</v>
      </c>
      <c r="E51" s="3">
        <v>106</v>
      </c>
      <c r="F51" s="3">
        <v>136</v>
      </c>
      <c r="G51" s="3">
        <v>167</v>
      </c>
      <c r="H51" s="3">
        <v>197</v>
      </c>
      <c r="I51" s="3">
        <v>228</v>
      </c>
      <c r="J51" s="3">
        <v>259</v>
      </c>
      <c r="K51" s="3">
        <v>289</v>
      </c>
      <c r="L51" s="3">
        <v>320</v>
      </c>
      <c r="M51" s="3">
        <v>350</v>
      </c>
    </row>
    <row r="52" spans="1:13" x14ac:dyDescent="0.2">
      <c r="A52" s="58">
        <v>16</v>
      </c>
      <c r="B52" s="60">
        <v>16</v>
      </c>
      <c r="C52" s="3">
        <v>47</v>
      </c>
      <c r="D52" s="3">
        <v>76</v>
      </c>
      <c r="E52" s="3">
        <v>107</v>
      </c>
      <c r="F52" s="3">
        <v>137</v>
      </c>
      <c r="G52" s="3">
        <v>168</v>
      </c>
      <c r="H52" s="3">
        <v>198</v>
      </c>
      <c r="I52" s="3">
        <v>229</v>
      </c>
      <c r="J52" s="3">
        <v>260</v>
      </c>
      <c r="K52" s="3">
        <v>290</v>
      </c>
      <c r="L52" s="3">
        <v>321</v>
      </c>
      <c r="M52" s="3">
        <v>351</v>
      </c>
    </row>
    <row r="53" spans="1:13" x14ac:dyDescent="0.2">
      <c r="A53" s="58">
        <v>17</v>
      </c>
      <c r="B53" s="60">
        <v>17</v>
      </c>
      <c r="C53" s="3">
        <v>48</v>
      </c>
      <c r="D53" s="3">
        <v>77</v>
      </c>
      <c r="E53" s="3">
        <v>108</v>
      </c>
      <c r="F53" s="3">
        <v>138</v>
      </c>
      <c r="G53" s="3">
        <v>169</v>
      </c>
      <c r="H53" s="3">
        <v>199</v>
      </c>
      <c r="I53" s="3">
        <v>230</v>
      </c>
      <c r="J53" s="3">
        <v>261</v>
      </c>
      <c r="K53" s="3">
        <v>291</v>
      </c>
      <c r="L53" s="3">
        <v>322</v>
      </c>
      <c r="M53" s="3">
        <v>352</v>
      </c>
    </row>
    <row r="54" spans="1:13" x14ac:dyDescent="0.2">
      <c r="A54" s="58">
        <v>18</v>
      </c>
      <c r="B54" s="60">
        <v>18</v>
      </c>
      <c r="C54" s="3">
        <v>49</v>
      </c>
      <c r="D54" s="3">
        <v>78</v>
      </c>
      <c r="E54" s="3">
        <v>109</v>
      </c>
      <c r="F54" s="3">
        <v>139</v>
      </c>
      <c r="G54" s="3">
        <v>170</v>
      </c>
      <c r="H54" s="3">
        <v>200</v>
      </c>
      <c r="I54" s="3">
        <v>231</v>
      </c>
      <c r="J54" s="3">
        <v>262</v>
      </c>
      <c r="K54" s="3">
        <v>292</v>
      </c>
      <c r="L54" s="3">
        <v>323</v>
      </c>
      <c r="M54" s="3">
        <v>353</v>
      </c>
    </row>
    <row r="55" spans="1:13" x14ac:dyDescent="0.2">
      <c r="A55" s="58">
        <v>19</v>
      </c>
      <c r="B55" s="60">
        <v>19</v>
      </c>
      <c r="C55" s="3">
        <v>50</v>
      </c>
      <c r="D55" s="3">
        <v>79</v>
      </c>
      <c r="E55" s="3">
        <v>110</v>
      </c>
      <c r="F55" s="3">
        <v>140</v>
      </c>
      <c r="G55" s="3">
        <v>171</v>
      </c>
      <c r="H55" s="3">
        <v>201</v>
      </c>
      <c r="I55" s="3">
        <v>232</v>
      </c>
      <c r="J55" s="3">
        <v>263</v>
      </c>
      <c r="K55" s="3">
        <v>293</v>
      </c>
      <c r="L55" s="3">
        <v>324</v>
      </c>
      <c r="M55" s="3">
        <v>354</v>
      </c>
    </row>
    <row r="56" spans="1:13" x14ac:dyDescent="0.2">
      <c r="A56" s="58">
        <v>20</v>
      </c>
      <c r="B56" s="60">
        <v>20</v>
      </c>
      <c r="C56" s="3">
        <v>51</v>
      </c>
      <c r="D56" s="3">
        <v>80</v>
      </c>
      <c r="E56" s="3">
        <v>111</v>
      </c>
      <c r="F56" s="3">
        <v>141</v>
      </c>
      <c r="G56" s="3">
        <v>172</v>
      </c>
      <c r="H56" s="3">
        <v>202</v>
      </c>
      <c r="I56" s="3">
        <v>233</v>
      </c>
      <c r="J56" s="3">
        <v>264</v>
      </c>
      <c r="K56" s="3">
        <v>294</v>
      </c>
      <c r="L56" s="3">
        <v>325</v>
      </c>
      <c r="M56" s="3">
        <v>355</v>
      </c>
    </row>
    <row r="57" spans="1:13" x14ac:dyDescent="0.2">
      <c r="A57" s="58">
        <v>21</v>
      </c>
      <c r="B57" s="60">
        <v>21</v>
      </c>
      <c r="C57" s="3">
        <v>52</v>
      </c>
      <c r="D57" s="3">
        <v>81</v>
      </c>
      <c r="E57" s="3">
        <v>112</v>
      </c>
      <c r="F57" s="3">
        <v>142</v>
      </c>
      <c r="G57" s="3">
        <v>173</v>
      </c>
      <c r="H57" s="3">
        <v>203</v>
      </c>
      <c r="I57" s="3">
        <v>234</v>
      </c>
      <c r="J57" s="3">
        <v>265</v>
      </c>
      <c r="K57" s="3">
        <v>295</v>
      </c>
      <c r="L57" s="3">
        <v>326</v>
      </c>
      <c r="M57" s="3">
        <v>356</v>
      </c>
    </row>
    <row r="58" spans="1:13" x14ac:dyDescent="0.2">
      <c r="A58" s="58">
        <v>22</v>
      </c>
      <c r="B58" s="60">
        <v>22</v>
      </c>
      <c r="C58" s="3">
        <v>53</v>
      </c>
      <c r="D58" s="3">
        <v>82</v>
      </c>
      <c r="E58" s="3">
        <v>113</v>
      </c>
      <c r="F58" s="3">
        <v>143</v>
      </c>
      <c r="G58" s="3">
        <v>174</v>
      </c>
      <c r="H58" s="3">
        <v>204</v>
      </c>
      <c r="I58" s="3">
        <v>235</v>
      </c>
      <c r="J58" s="3">
        <v>266</v>
      </c>
      <c r="K58" s="3">
        <v>296</v>
      </c>
      <c r="L58" s="3">
        <v>327</v>
      </c>
      <c r="M58" s="3">
        <v>357</v>
      </c>
    </row>
    <row r="59" spans="1:13" x14ac:dyDescent="0.2">
      <c r="A59" s="58">
        <v>23</v>
      </c>
      <c r="B59" s="60">
        <v>23</v>
      </c>
      <c r="C59" s="3">
        <v>54</v>
      </c>
      <c r="D59" s="3">
        <v>83</v>
      </c>
      <c r="E59" s="3">
        <v>114</v>
      </c>
      <c r="F59" s="3">
        <v>144</v>
      </c>
      <c r="G59" s="3">
        <v>175</v>
      </c>
      <c r="H59" s="3">
        <v>205</v>
      </c>
      <c r="I59" s="3">
        <v>236</v>
      </c>
      <c r="J59" s="3">
        <v>267</v>
      </c>
      <c r="K59" s="3">
        <v>297</v>
      </c>
      <c r="L59" s="3">
        <v>328</v>
      </c>
      <c r="M59" s="3">
        <v>358</v>
      </c>
    </row>
    <row r="60" spans="1:13" x14ac:dyDescent="0.2">
      <c r="A60" s="58">
        <v>24</v>
      </c>
      <c r="B60" s="60">
        <v>24</v>
      </c>
      <c r="C60" s="3">
        <v>55</v>
      </c>
      <c r="D60" s="3">
        <v>84</v>
      </c>
      <c r="E60" s="3">
        <v>115</v>
      </c>
      <c r="F60" s="3">
        <v>145</v>
      </c>
      <c r="G60" s="3">
        <v>176</v>
      </c>
      <c r="H60" s="3">
        <v>206</v>
      </c>
      <c r="I60" s="3">
        <v>237</v>
      </c>
      <c r="J60" s="3">
        <v>268</v>
      </c>
      <c r="K60" s="3">
        <v>298</v>
      </c>
      <c r="L60" s="3">
        <v>329</v>
      </c>
      <c r="M60" s="3">
        <v>359</v>
      </c>
    </row>
    <row r="61" spans="1:13" x14ac:dyDescent="0.2">
      <c r="A61" s="58">
        <v>25</v>
      </c>
      <c r="B61" s="60">
        <v>25</v>
      </c>
      <c r="C61" s="3">
        <v>56</v>
      </c>
      <c r="D61" s="3">
        <v>85</v>
      </c>
      <c r="E61" s="3">
        <v>116</v>
      </c>
      <c r="F61" s="3">
        <v>146</v>
      </c>
      <c r="G61" s="3">
        <v>177</v>
      </c>
      <c r="H61" s="3">
        <v>207</v>
      </c>
      <c r="I61" s="3">
        <v>238</v>
      </c>
      <c r="J61" s="3">
        <v>269</v>
      </c>
      <c r="K61" s="3">
        <v>299</v>
      </c>
      <c r="L61" s="3">
        <v>330</v>
      </c>
      <c r="M61" s="3">
        <v>360</v>
      </c>
    </row>
    <row r="62" spans="1:13" x14ac:dyDescent="0.2">
      <c r="A62" s="58">
        <v>26</v>
      </c>
      <c r="B62" s="60">
        <v>26</v>
      </c>
      <c r="C62" s="3">
        <v>57</v>
      </c>
      <c r="D62" s="3">
        <v>86</v>
      </c>
      <c r="E62" s="3">
        <v>117</v>
      </c>
      <c r="F62" s="3">
        <v>147</v>
      </c>
      <c r="G62" s="3">
        <v>178</v>
      </c>
      <c r="H62" s="3">
        <v>208</v>
      </c>
      <c r="I62" s="3">
        <v>239</v>
      </c>
      <c r="J62" s="3">
        <v>270</v>
      </c>
      <c r="K62" s="3">
        <v>300</v>
      </c>
      <c r="L62" s="3">
        <v>331</v>
      </c>
      <c r="M62" s="3">
        <v>361</v>
      </c>
    </row>
    <row r="63" spans="1:13" x14ac:dyDescent="0.2">
      <c r="A63" s="58">
        <v>27</v>
      </c>
      <c r="B63" s="60">
        <v>27</v>
      </c>
      <c r="C63" s="3">
        <v>58</v>
      </c>
      <c r="D63" s="3">
        <v>87</v>
      </c>
      <c r="E63" s="3">
        <v>118</v>
      </c>
      <c r="F63" s="3">
        <v>148</v>
      </c>
      <c r="G63" s="3">
        <v>179</v>
      </c>
      <c r="H63" s="3">
        <v>209</v>
      </c>
      <c r="I63" s="3">
        <v>240</v>
      </c>
      <c r="J63" s="3">
        <v>271</v>
      </c>
      <c r="K63" s="3">
        <v>301</v>
      </c>
      <c r="L63" s="3">
        <v>332</v>
      </c>
      <c r="M63" s="3">
        <v>362</v>
      </c>
    </row>
    <row r="64" spans="1:13" x14ac:dyDescent="0.2">
      <c r="A64" s="58">
        <v>28</v>
      </c>
      <c r="B64" s="60">
        <v>28</v>
      </c>
      <c r="C64" s="3">
        <v>59</v>
      </c>
      <c r="D64" s="3">
        <v>88</v>
      </c>
      <c r="E64" s="3">
        <v>119</v>
      </c>
      <c r="F64" s="3">
        <v>149</v>
      </c>
      <c r="G64" s="3">
        <v>180</v>
      </c>
      <c r="H64" s="3">
        <v>210</v>
      </c>
      <c r="I64" s="3">
        <v>241</v>
      </c>
      <c r="J64" s="3">
        <v>272</v>
      </c>
      <c r="K64" s="3">
        <v>302</v>
      </c>
      <c r="L64" s="3">
        <v>333</v>
      </c>
      <c r="M64" s="3">
        <v>363</v>
      </c>
    </row>
    <row r="65" spans="1:13" x14ac:dyDescent="0.2">
      <c r="A65" s="58">
        <v>29</v>
      </c>
      <c r="B65" s="60">
        <v>29</v>
      </c>
      <c r="C65" s="3">
        <v>60</v>
      </c>
      <c r="D65" s="3">
        <v>89</v>
      </c>
      <c r="E65" s="3">
        <v>120</v>
      </c>
      <c r="F65" s="3">
        <v>150</v>
      </c>
      <c r="G65" s="3">
        <v>181</v>
      </c>
      <c r="H65" s="3">
        <v>211</v>
      </c>
      <c r="I65" s="3">
        <v>242</v>
      </c>
      <c r="J65" s="3">
        <v>273</v>
      </c>
      <c r="K65" s="3">
        <v>303</v>
      </c>
      <c r="L65" s="3">
        <v>334</v>
      </c>
      <c r="M65" s="3">
        <v>364</v>
      </c>
    </row>
    <row r="66" spans="1:13" x14ac:dyDescent="0.2">
      <c r="A66" s="58">
        <v>30</v>
      </c>
      <c r="B66" s="60">
        <v>30</v>
      </c>
      <c r="C66" s="3"/>
      <c r="D66" s="3">
        <v>90</v>
      </c>
      <c r="E66" s="3">
        <v>121</v>
      </c>
      <c r="F66" s="3">
        <v>151</v>
      </c>
      <c r="G66" s="3">
        <v>182</v>
      </c>
      <c r="H66" s="3">
        <v>212</v>
      </c>
      <c r="I66" s="3">
        <v>243</v>
      </c>
      <c r="J66" s="3">
        <v>274</v>
      </c>
      <c r="K66" s="3">
        <v>304</v>
      </c>
      <c r="L66" s="3">
        <v>335</v>
      </c>
      <c r="M66" s="3">
        <v>365</v>
      </c>
    </row>
    <row r="67" spans="1:13" x14ac:dyDescent="0.2">
      <c r="A67" s="58">
        <v>31</v>
      </c>
      <c r="B67" s="60">
        <v>31</v>
      </c>
      <c r="C67" s="3"/>
      <c r="D67" s="3">
        <v>91</v>
      </c>
      <c r="E67" s="3"/>
      <c r="F67" s="3">
        <v>152</v>
      </c>
      <c r="G67" s="3"/>
      <c r="H67" s="3">
        <v>213</v>
      </c>
      <c r="I67" s="3">
        <v>244</v>
      </c>
      <c r="J67" s="3"/>
      <c r="K67" s="3">
        <v>305</v>
      </c>
      <c r="L67" s="3"/>
      <c r="M67" s="3">
        <v>366</v>
      </c>
    </row>
  </sheetData>
  <phoneticPr fontId="1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AC9A-5DF0-43F6-93C9-6D68B2363FF2}">
  <sheetPr codeName="Sheet3"/>
  <dimension ref="A1:G248"/>
  <sheetViews>
    <sheetView zoomScale="85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2.140625" style="6" customWidth="1"/>
    <col min="2" max="2" width="12.140625" style="8" customWidth="1"/>
    <col min="3" max="3" width="84.7109375" style="6" customWidth="1"/>
    <col min="4" max="16384" width="9.140625" style="6"/>
  </cols>
  <sheetData>
    <row r="1" spans="1:7" s="51" customFormat="1" x14ac:dyDescent="0.2">
      <c r="A1" s="51" t="s">
        <v>121</v>
      </c>
      <c r="B1" s="45" t="s">
        <v>122</v>
      </c>
      <c r="C1" s="51" t="s">
        <v>123</v>
      </c>
    </row>
    <row r="2" spans="1:7" x14ac:dyDescent="0.2">
      <c r="A2" s="6" t="s">
        <v>124</v>
      </c>
      <c r="B2" s="8" t="s">
        <v>41</v>
      </c>
      <c r="C2" s="6" t="s">
        <v>125</v>
      </c>
    </row>
    <row r="3" spans="1:7" x14ac:dyDescent="0.2">
      <c r="A3" s="6" t="s">
        <v>527</v>
      </c>
      <c r="B3" s="8" t="s">
        <v>41</v>
      </c>
      <c r="C3" s="6" t="s">
        <v>528</v>
      </c>
    </row>
    <row r="4" spans="1:7" x14ac:dyDescent="0.2">
      <c r="A4" s="6" t="s">
        <v>126</v>
      </c>
      <c r="B4" s="8" t="s">
        <v>19</v>
      </c>
      <c r="C4" s="6" t="s">
        <v>127</v>
      </c>
    </row>
    <row r="5" spans="1:7" x14ac:dyDescent="0.2">
      <c r="A5" s="6" t="s">
        <v>128</v>
      </c>
      <c r="B5" s="8" t="s">
        <v>19</v>
      </c>
      <c r="C5" s="6" t="s">
        <v>129</v>
      </c>
    </row>
    <row r="6" spans="1:7" x14ac:dyDescent="0.2">
      <c r="A6" s="6" t="s">
        <v>529</v>
      </c>
      <c r="B6" s="8" t="s">
        <v>529</v>
      </c>
      <c r="C6" s="6" t="s">
        <v>530</v>
      </c>
    </row>
    <row r="7" spans="1:7" x14ac:dyDescent="0.2">
      <c r="A7" s="6" t="s">
        <v>130</v>
      </c>
      <c r="B7" s="8" t="s">
        <v>131</v>
      </c>
      <c r="C7" s="6" t="s">
        <v>132</v>
      </c>
    </row>
    <row r="8" spans="1:7" x14ac:dyDescent="0.2">
      <c r="A8" s="6" t="s">
        <v>531</v>
      </c>
      <c r="B8" s="8" t="s">
        <v>529</v>
      </c>
      <c r="C8" s="6" t="s">
        <v>532</v>
      </c>
    </row>
    <row r="9" spans="1:7" x14ac:dyDescent="0.2">
      <c r="A9" s="6" t="s">
        <v>533</v>
      </c>
      <c r="B9" s="8" t="s">
        <v>529</v>
      </c>
      <c r="C9" s="6" t="s">
        <v>534</v>
      </c>
    </row>
    <row r="10" spans="1:7" x14ac:dyDescent="0.2">
      <c r="A10" s="6" t="s">
        <v>535</v>
      </c>
      <c r="B10" s="8" t="s">
        <v>529</v>
      </c>
      <c r="C10" s="6" t="s">
        <v>536</v>
      </c>
    </row>
    <row r="11" spans="1:7" x14ac:dyDescent="0.2">
      <c r="A11" s="6" t="s">
        <v>537</v>
      </c>
      <c r="B11" s="8" t="s">
        <v>529</v>
      </c>
      <c r="C11" s="6" t="s">
        <v>538</v>
      </c>
    </row>
    <row r="12" spans="1:7" x14ac:dyDescent="0.2">
      <c r="A12" s="6" t="s">
        <v>133</v>
      </c>
      <c r="B12" s="8" t="s">
        <v>54</v>
      </c>
      <c r="C12" s="6" t="s">
        <v>134</v>
      </c>
    </row>
    <row r="13" spans="1:7" x14ac:dyDescent="0.2">
      <c r="A13" s="6" t="s">
        <v>135</v>
      </c>
      <c r="B13" s="8" t="s">
        <v>136</v>
      </c>
      <c r="C13" s="6" t="s">
        <v>137</v>
      </c>
    </row>
    <row r="14" spans="1:7" x14ac:dyDescent="0.2">
      <c r="A14" s="6" t="s">
        <v>138</v>
      </c>
      <c r="B14" s="8" t="s">
        <v>41</v>
      </c>
      <c r="C14" s="6" t="s">
        <v>139</v>
      </c>
      <c r="G14" s="40"/>
    </row>
    <row r="15" spans="1:7" x14ac:dyDescent="0.2">
      <c r="A15" s="6" t="s">
        <v>539</v>
      </c>
      <c r="B15" s="8" t="s">
        <v>529</v>
      </c>
      <c r="C15" s="6" t="s">
        <v>540</v>
      </c>
      <c r="G15" s="40"/>
    </row>
    <row r="16" spans="1:7" x14ac:dyDescent="0.2">
      <c r="A16" s="6" t="s">
        <v>140</v>
      </c>
      <c r="B16" s="8" t="s">
        <v>19</v>
      </c>
      <c r="C16" s="6" t="s">
        <v>141</v>
      </c>
      <c r="G16" s="40"/>
    </row>
    <row r="17" spans="1:7" x14ac:dyDescent="0.2">
      <c r="A17" s="6" t="s">
        <v>541</v>
      </c>
      <c r="B17" s="8" t="s">
        <v>41</v>
      </c>
      <c r="C17" s="6" t="s">
        <v>528</v>
      </c>
      <c r="G17" s="40"/>
    </row>
    <row r="18" spans="1:7" x14ac:dyDescent="0.2">
      <c r="A18" s="6" t="s">
        <v>142</v>
      </c>
      <c r="B18" s="8" t="s">
        <v>19</v>
      </c>
      <c r="C18" s="6" t="s">
        <v>143</v>
      </c>
      <c r="G18" s="40"/>
    </row>
    <row r="19" spans="1:7" x14ac:dyDescent="0.2">
      <c r="A19" s="6" t="s">
        <v>144</v>
      </c>
      <c r="B19" s="8" t="s">
        <v>145</v>
      </c>
      <c r="C19" s="6" t="s">
        <v>146</v>
      </c>
      <c r="G19" s="40"/>
    </row>
    <row r="20" spans="1:7" x14ac:dyDescent="0.2">
      <c r="A20" s="6" t="s">
        <v>147</v>
      </c>
      <c r="B20" s="8" t="s">
        <v>41</v>
      </c>
      <c r="C20" s="6" t="s">
        <v>148</v>
      </c>
    </row>
    <row r="21" spans="1:7" x14ac:dyDescent="0.2">
      <c r="A21" s="6" t="s">
        <v>149</v>
      </c>
      <c r="B21" s="8" t="s">
        <v>150</v>
      </c>
      <c r="C21" s="6" t="s">
        <v>151</v>
      </c>
    </row>
    <row r="22" spans="1:7" x14ac:dyDescent="0.2">
      <c r="A22" s="6" t="s">
        <v>152</v>
      </c>
      <c r="B22" s="8" t="s">
        <v>150</v>
      </c>
      <c r="C22" s="6" t="s">
        <v>153</v>
      </c>
    </row>
    <row r="23" spans="1:7" x14ac:dyDescent="0.2">
      <c r="A23" s="6" t="s">
        <v>154</v>
      </c>
      <c r="B23" s="8" t="s">
        <v>150</v>
      </c>
      <c r="C23" s="6" t="s">
        <v>155</v>
      </c>
    </row>
    <row r="24" spans="1:7" x14ac:dyDescent="0.2">
      <c r="A24" s="6" t="s">
        <v>156</v>
      </c>
      <c r="B24" s="8" t="s">
        <v>150</v>
      </c>
      <c r="C24" s="6" t="s">
        <v>157</v>
      </c>
    </row>
    <row r="25" spans="1:7" x14ac:dyDescent="0.2">
      <c r="A25" s="6" t="s">
        <v>158</v>
      </c>
      <c r="B25" s="8" t="s">
        <v>150</v>
      </c>
      <c r="C25" s="6" t="s">
        <v>159</v>
      </c>
    </row>
    <row r="26" spans="1:7" x14ac:dyDescent="0.2">
      <c r="A26" s="6" t="s">
        <v>160</v>
      </c>
      <c r="B26" s="8" t="s">
        <v>150</v>
      </c>
      <c r="C26" s="6" t="s">
        <v>161</v>
      </c>
    </row>
    <row r="27" spans="1:7" x14ac:dyDescent="0.2">
      <c r="A27" s="6" t="s">
        <v>542</v>
      </c>
      <c r="B27" s="8" t="s">
        <v>543</v>
      </c>
      <c r="C27" s="6" t="s">
        <v>544</v>
      </c>
    </row>
    <row r="28" spans="1:7" x14ac:dyDescent="0.2">
      <c r="A28" s="6" t="s">
        <v>162</v>
      </c>
      <c r="B28" s="8" t="s">
        <v>19</v>
      </c>
      <c r="C28" s="6" t="s">
        <v>163</v>
      </c>
    </row>
    <row r="29" spans="1:7" x14ac:dyDescent="0.2">
      <c r="A29" s="6" t="s">
        <v>164</v>
      </c>
      <c r="B29" s="8" t="s">
        <v>19</v>
      </c>
      <c r="C29" s="6" t="s">
        <v>165</v>
      </c>
    </row>
    <row r="30" spans="1:7" x14ac:dyDescent="0.2">
      <c r="A30" s="6" t="s">
        <v>166</v>
      </c>
      <c r="B30" s="8" t="s">
        <v>19</v>
      </c>
      <c r="C30" s="6" t="s">
        <v>167</v>
      </c>
    </row>
    <row r="31" spans="1:7" x14ac:dyDescent="0.2">
      <c r="A31" s="6" t="s">
        <v>606</v>
      </c>
      <c r="B31" s="8" t="s">
        <v>21</v>
      </c>
      <c r="C31" s="6" t="s">
        <v>607</v>
      </c>
    </row>
    <row r="32" spans="1:7" x14ac:dyDescent="0.2">
      <c r="A32" s="6" t="s">
        <v>545</v>
      </c>
      <c r="B32" s="8" t="s">
        <v>190</v>
      </c>
      <c r="C32" s="6" t="s">
        <v>546</v>
      </c>
    </row>
    <row r="33" spans="1:3" x14ac:dyDescent="0.2">
      <c r="A33" s="6" t="s">
        <v>168</v>
      </c>
      <c r="B33" s="8" t="s">
        <v>41</v>
      </c>
      <c r="C33" s="6" t="s">
        <v>169</v>
      </c>
    </row>
    <row r="34" spans="1:3" x14ac:dyDescent="0.2">
      <c r="A34" s="6" t="s">
        <v>170</v>
      </c>
      <c r="B34" s="8" t="s">
        <v>41</v>
      </c>
      <c r="C34" s="6" t="s">
        <v>171</v>
      </c>
    </row>
    <row r="35" spans="1:3" x14ac:dyDescent="0.2">
      <c r="A35" s="6" t="s">
        <v>172</v>
      </c>
      <c r="B35" s="8" t="s">
        <v>173</v>
      </c>
      <c r="C35" s="6" t="s">
        <v>174</v>
      </c>
    </row>
    <row r="36" spans="1:3" x14ac:dyDescent="0.2">
      <c r="A36" s="6" t="s">
        <v>547</v>
      </c>
      <c r="B36" s="8" t="s">
        <v>41</v>
      </c>
      <c r="C36" s="6" t="s">
        <v>528</v>
      </c>
    </row>
    <row r="37" spans="1:3" x14ac:dyDescent="0.2">
      <c r="A37" s="6" t="s">
        <v>608</v>
      </c>
      <c r="B37" s="8" t="s">
        <v>609</v>
      </c>
      <c r="C37" s="6" t="s">
        <v>610</v>
      </c>
    </row>
    <row r="38" spans="1:3" x14ac:dyDescent="0.2">
      <c r="A38" s="6" t="s">
        <v>175</v>
      </c>
      <c r="B38" s="8" t="s">
        <v>19</v>
      </c>
      <c r="C38" s="6" t="s">
        <v>176</v>
      </c>
    </row>
    <row r="39" spans="1:3" x14ac:dyDescent="0.2">
      <c r="A39" s="6" t="s">
        <v>177</v>
      </c>
      <c r="B39" s="8" t="s">
        <v>19</v>
      </c>
      <c r="C39" s="6" t="s">
        <v>178</v>
      </c>
    </row>
    <row r="40" spans="1:3" x14ac:dyDescent="0.2">
      <c r="A40" s="6" t="s">
        <v>548</v>
      </c>
      <c r="B40" s="8" t="s">
        <v>543</v>
      </c>
      <c r="C40" s="6" t="s">
        <v>549</v>
      </c>
    </row>
    <row r="41" spans="1:3" x14ac:dyDescent="0.2">
      <c r="A41" s="6" t="s">
        <v>29</v>
      </c>
      <c r="B41" s="8" t="s">
        <v>179</v>
      </c>
      <c r="C41" s="6" t="s">
        <v>180</v>
      </c>
    </row>
    <row r="42" spans="1:3" x14ac:dyDescent="0.2">
      <c r="A42" s="6" t="s">
        <v>611</v>
      </c>
      <c r="B42" s="8" t="s">
        <v>256</v>
      </c>
      <c r="C42" s="6" t="s">
        <v>612</v>
      </c>
    </row>
    <row r="43" spans="1:3" x14ac:dyDescent="0.2">
      <c r="A43" s="6" t="s">
        <v>181</v>
      </c>
      <c r="B43" s="8" t="s">
        <v>41</v>
      </c>
      <c r="C43" s="6" t="s">
        <v>182</v>
      </c>
    </row>
    <row r="44" spans="1:3" x14ac:dyDescent="0.2">
      <c r="A44" s="6" t="s">
        <v>183</v>
      </c>
      <c r="B44" s="8" t="s">
        <v>19</v>
      </c>
      <c r="C44" s="6" t="s">
        <v>184</v>
      </c>
    </row>
    <row r="45" spans="1:3" x14ac:dyDescent="0.2">
      <c r="A45" s="6" t="s">
        <v>185</v>
      </c>
      <c r="B45" s="8" t="s">
        <v>19</v>
      </c>
      <c r="C45" s="6" t="s">
        <v>186</v>
      </c>
    </row>
    <row r="46" spans="1:3" x14ac:dyDescent="0.2">
      <c r="A46" s="6" t="s">
        <v>187</v>
      </c>
      <c r="B46" s="8" t="s">
        <v>41</v>
      </c>
      <c r="C46" s="6" t="s">
        <v>188</v>
      </c>
    </row>
    <row r="47" spans="1:3" x14ac:dyDescent="0.2">
      <c r="A47" s="6" t="s">
        <v>550</v>
      </c>
      <c r="B47" s="8" t="s">
        <v>190</v>
      </c>
      <c r="C47" s="6" t="s">
        <v>551</v>
      </c>
    </row>
    <row r="48" spans="1:3" x14ac:dyDescent="0.2">
      <c r="A48" s="6" t="s">
        <v>189</v>
      </c>
      <c r="B48" s="8" t="s">
        <v>190</v>
      </c>
      <c r="C48" s="6" t="s">
        <v>191</v>
      </c>
    </row>
    <row r="49" spans="1:3" x14ac:dyDescent="0.2">
      <c r="A49" s="6" t="s">
        <v>192</v>
      </c>
      <c r="B49" s="8" t="s">
        <v>190</v>
      </c>
      <c r="C49" s="6" t="s">
        <v>193</v>
      </c>
    </row>
    <row r="50" spans="1:3" x14ac:dyDescent="0.2">
      <c r="A50" s="6" t="s">
        <v>194</v>
      </c>
      <c r="B50" s="8" t="s">
        <v>190</v>
      </c>
      <c r="C50" s="6" t="s">
        <v>195</v>
      </c>
    </row>
    <row r="51" spans="1:3" x14ac:dyDescent="0.2">
      <c r="A51" s="6" t="s">
        <v>613</v>
      </c>
      <c r="B51" s="8" t="s">
        <v>21</v>
      </c>
      <c r="C51" s="6" t="s">
        <v>614</v>
      </c>
    </row>
    <row r="52" spans="1:3" x14ac:dyDescent="0.2">
      <c r="A52" s="6" t="s">
        <v>196</v>
      </c>
      <c r="B52" s="8" t="s">
        <v>190</v>
      </c>
      <c r="C52" s="6" t="s">
        <v>197</v>
      </c>
    </row>
    <row r="53" spans="1:3" x14ac:dyDescent="0.2">
      <c r="A53" s="6" t="s">
        <v>552</v>
      </c>
      <c r="B53" s="8" t="s">
        <v>190</v>
      </c>
      <c r="C53" s="6" t="s">
        <v>553</v>
      </c>
    </row>
    <row r="54" spans="1:3" x14ac:dyDescent="0.2">
      <c r="A54" s="6" t="s">
        <v>198</v>
      </c>
      <c r="B54" s="8" t="s">
        <v>190</v>
      </c>
      <c r="C54" s="6" t="s">
        <v>199</v>
      </c>
    </row>
    <row r="55" spans="1:3" x14ac:dyDescent="0.2">
      <c r="A55" s="6" t="s">
        <v>200</v>
      </c>
      <c r="B55" s="8" t="s">
        <v>145</v>
      </c>
      <c r="C55" s="6" t="s">
        <v>201</v>
      </c>
    </row>
    <row r="56" spans="1:3" x14ac:dyDescent="0.2">
      <c r="A56" s="6" t="s">
        <v>202</v>
      </c>
      <c r="B56" s="8" t="s">
        <v>203</v>
      </c>
      <c r="C56" s="6" t="s">
        <v>204</v>
      </c>
    </row>
    <row r="57" spans="1:3" x14ac:dyDescent="0.2">
      <c r="A57" s="6" t="s">
        <v>205</v>
      </c>
      <c r="B57" s="8" t="s">
        <v>206</v>
      </c>
      <c r="C57" s="6" t="s">
        <v>207</v>
      </c>
    </row>
    <row r="58" spans="1:3" x14ac:dyDescent="0.2">
      <c r="A58" s="6" t="s">
        <v>208</v>
      </c>
      <c r="B58" s="8" t="s">
        <v>206</v>
      </c>
      <c r="C58" s="6" t="s">
        <v>209</v>
      </c>
    </row>
    <row r="59" spans="1:3" x14ac:dyDescent="0.2">
      <c r="A59" s="6" t="s">
        <v>210</v>
      </c>
      <c r="B59" s="8" t="s">
        <v>206</v>
      </c>
      <c r="C59" s="6" t="s">
        <v>211</v>
      </c>
    </row>
    <row r="60" spans="1:3" x14ac:dyDescent="0.2">
      <c r="A60" s="6" t="s">
        <v>212</v>
      </c>
      <c r="B60" s="8" t="s">
        <v>136</v>
      </c>
      <c r="C60" s="6" t="s">
        <v>213</v>
      </c>
    </row>
    <row r="61" spans="1:3" x14ac:dyDescent="0.2">
      <c r="A61" s="6" t="s">
        <v>214</v>
      </c>
      <c r="B61" s="8" t="s">
        <v>215</v>
      </c>
      <c r="C61" s="6" t="s">
        <v>216</v>
      </c>
    </row>
    <row r="62" spans="1:3" x14ac:dyDescent="0.2">
      <c r="A62" s="6" t="s">
        <v>217</v>
      </c>
      <c r="B62" s="8" t="s">
        <v>145</v>
      </c>
      <c r="C62" s="6" t="s">
        <v>218</v>
      </c>
    </row>
    <row r="63" spans="1:3" x14ac:dyDescent="0.2">
      <c r="A63" s="6" t="s">
        <v>219</v>
      </c>
      <c r="B63" s="8" t="s">
        <v>66</v>
      </c>
      <c r="C63" s="6" t="s">
        <v>220</v>
      </c>
    </row>
    <row r="64" spans="1:3" x14ac:dyDescent="0.2">
      <c r="A64" s="6" t="s">
        <v>221</v>
      </c>
      <c r="B64" s="8" t="s">
        <v>41</v>
      </c>
      <c r="C64" s="6" t="s">
        <v>222</v>
      </c>
    </row>
    <row r="65" spans="1:3" x14ac:dyDescent="0.2">
      <c r="A65" s="6" t="s">
        <v>223</v>
      </c>
      <c r="B65" s="8" t="s">
        <v>224</v>
      </c>
      <c r="C65" s="6" t="s">
        <v>225</v>
      </c>
    </row>
    <row r="66" spans="1:3" x14ac:dyDescent="0.2">
      <c r="A66" s="6" t="s">
        <v>226</v>
      </c>
      <c r="B66" s="8" t="s">
        <v>224</v>
      </c>
      <c r="C66" s="6" t="s">
        <v>227</v>
      </c>
    </row>
    <row r="67" spans="1:3" x14ac:dyDescent="0.2">
      <c r="A67" s="6" t="s">
        <v>228</v>
      </c>
      <c r="B67" s="8" t="s">
        <v>224</v>
      </c>
      <c r="C67" s="6" t="s">
        <v>229</v>
      </c>
    </row>
    <row r="68" spans="1:3" x14ac:dyDescent="0.2">
      <c r="A68" s="6" t="s">
        <v>61</v>
      </c>
      <c r="B68" s="8" t="s">
        <v>41</v>
      </c>
      <c r="C68" s="6" t="s">
        <v>230</v>
      </c>
    </row>
    <row r="69" spans="1:3" x14ac:dyDescent="0.2">
      <c r="A69" s="6" t="s">
        <v>231</v>
      </c>
      <c r="B69" s="8" t="s">
        <v>232</v>
      </c>
      <c r="C69" s="6" t="s">
        <v>233</v>
      </c>
    </row>
    <row r="70" spans="1:3" x14ac:dyDescent="0.2">
      <c r="A70" s="6" t="s">
        <v>234</v>
      </c>
      <c r="B70" s="8" t="s">
        <v>41</v>
      </c>
      <c r="C70" s="6" t="s">
        <v>235</v>
      </c>
    </row>
    <row r="71" spans="1:3" x14ac:dyDescent="0.2">
      <c r="A71" s="6" t="s">
        <v>236</v>
      </c>
      <c r="B71" s="8" t="s">
        <v>224</v>
      </c>
      <c r="C71" s="6" t="s">
        <v>237</v>
      </c>
    </row>
    <row r="72" spans="1:3" x14ac:dyDescent="0.2">
      <c r="A72" s="6" t="s">
        <v>238</v>
      </c>
      <c r="B72" s="8" t="s">
        <v>41</v>
      </c>
      <c r="C72" s="6" t="s">
        <v>239</v>
      </c>
    </row>
    <row r="73" spans="1:3" x14ac:dyDescent="0.2">
      <c r="A73" s="6" t="s">
        <v>240</v>
      </c>
      <c r="B73" s="8" t="s">
        <v>41</v>
      </c>
      <c r="C73" s="6" t="s">
        <v>241</v>
      </c>
    </row>
    <row r="74" spans="1:3" x14ac:dyDescent="0.2">
      <c r="A74" s="6" t="s">
        <v>242</v>
      </c>
      <c r="B74" s="8" t="s">
        <v>224</v>
      </c>
      <c r="C74" s="6" t="s">
        <v>243</v>
      </c>
    </row>
    <row r="75" spans="1:3" x14ac:dyDescent="0.2">
      <c r="A75" s="6" t="s">
        <v>28</v>
      </c>
      <c r="B75" s="8" t="s">
        <v>179</v>
      </c>
      <c r="C75" s="6" t="s">
        <v>244</v>
      </c>
    </row>
    <row r="76" spans="1:3" x14ac:dyDescent="0.2">
      <c r="A76" s="6" t="s">
        <v>245</v>
      </c>
      <c r="B76" s="8" t="s">
        <v>173</v>
      </c>
      <c r="C76" s="6" t="s">
        <v>246</v>
      </c>
    </row>
    <row r="77" spans="1:3" x14ac:dyDescent="0.2">
      <c r="A77" s="6" t="s">
        <v>247</v>
      </c>
      <c r="B77" s="8" t="s">
        <v>224</v>
      </c>
      <c r="C77" s="6" t="s">
        <v>248</v>
      </c>
    </row>
    <row r="78" spans="1:3" x14ac:dyDescent="0.2">
      <c r="A78" s="6" t="s">
        <v>249</v>
      </c>
      <c r="B78" s="8" t="s">
        <v>206</v>
      </c>
      <c r="C78" s="6" t="s">
        <v>250</v>
      </c>
    </row>
    <row r="79" spans="1:3" x14ac:dyDescent="0.2">
      <c r="A79" s="6" t="s">
        <v>251</v>
      </c>
      <c r="B79" s="8" t="s">
        <v>206</v>
      </c>
      <c r="C79" s="6" t="s">
        <v>252</v>
      </c>
    </row>
    <row r="80" spans="1:3" x14ac:dyDescent="0.2">
      <c r="A80" s="6" t="s">
        <v>253</v>
      </c>
      <c r="B80" s="8" t="s">
        <v>173</v>
      </c>
      <c r="C80" s="6" t="s">
        <v>254</v>
      </c>
    </row>
    <row r="81" spans="1:3" x14ac:dyDescent="0.2">
      <c r="A81" s="6" t="s">
        <v>255</v>
      </c>
      <c r="B81" s="8" t="s">
        <v>256</v>
      </c>
      <c r="C81" s="6" t="s">
        <v>257</v>
      </c>
    </row>
    <row r="82" spans="1:3" x14ac:dyDescent="0.2">
      <c r="A82" s="6" t="s">
        <v>258</v>
      </c>
      <c r="B82" s="8" t="s">
        <v>41</v>
      </c>
      <c r="C82" s="6" t="s">
        <v>259</v>
      </c>
    </row>
    <row r="83" spans="1:3" x14ac:dyDescent="0.2">
      <c r="A83" s="6" t="s">
        <v>260</v>
      </c>
      <c r="B83" s="8" t="s">
        <v>41</v>
      </c>
      <c r="C83" s="6" t="s">
        <v>261</v>
      </c>
    </row>
    <row r="84" spans="1:3" x14ac:dyDescent="0.2">
      <c r="A84" s="6" t="s">
        <v>262</v>
      </c>
      <c r="B84" s="8" t="s">
        <v>41</v>
      </c>
      <c r="C84" s="6" t="s">
        <v>263</v>
      </c>
    </row>
    <row r="85" spans="1:3" x14ac:dyDescent="0.2">
      <c r="A85" s="6" t="s">
        <v>264</v>
      </c>
      <c r="B85" s="8" t="s">
        <v>41</v>
      </c>
      <c r="C85" s="6" t="s">
        <v>265</v>
      </c>
    </row>
    <row r="86" spans="1:3" x14ac:dyDescent="0.2">
      <c r="A86" s="6" t="s">
        <v>266</v>
      </c>
      <c r="B86" s="8" t="s">
        <v>41</v>
      </c>
      <c r="C86" s="6" t="s">
        <v>267</v>
      </c>
    </row>
    <row r="87" spans="1:3" x14ac:dyDescent="0.2">
      <c r="A87" s="6" t="s">
        <v>268</v>
      </c>
      <c r="B87" s="8" t="s">
        <v>41</v>
      </c>
      <c r="C87" s="6" t="s">
        <v>269</v>
      </c>
    </row>
    <row r="88" spans="1:3" x14ac:dyDescent="0.2">
      <c r="A88" s="6" t="s">
        <v>270</v>
      </c>
      <c r="B88" s="8" t="s">
        <v>41</v>
      </c>
      <c r="C88" s="6" t="s">
        <v>271</v>
      </c>
    </row>
    <row r="89" spans="1:3" x14ac:dyDescent="0.2">
      <c r="A89" s="6" t="s">
        <v>272</v>
      </c>
      <c r="B89" s="8" t="s">
        <v>150</v>
      </c>
      <c r="C89" s="6" t="s">
        <v>273</v>
      </c>
    </row>
    <row r="90" spans="1:3" x14ac:dyDescent="0.2">
      <c r="A90" s="6" t="s">
        <v>274</v>
      </c>
      <c r="B90" s="8" t="s">
        <v>275</v>
      </c>
      <c r="C90" s="6" t="s">
        <v>276</v>
      </c>
    </row>
    <row r="91" spans="1:3" x14ac:dyDescent="0.2">
      <c r="A91" s="6" t="s">
        <v>277</v>
      </c>
      <c r="B91" s="8" t="s">
        <v>150</v>
      </c>
      <c r="C91" s="6" t="s">
        <v>278</v>
      </c>
    </row>
    <row r="92" spans="1:3" x14ac:dyDescent="0.2">
      <c r="A92" s="6" t="s">
        <v>279</v>
      </c>
      <c r="B92" s="8" t="s">
        <v>256</v>
      </c>
      <c r="C92" s="6" t="s">
        <v>280</v>
      </c>
    </row>
    <row r="93" spans="1:3" x14ac:dyDescent="0.2">
      <c r="A93" s="6" t="s">
        <v>281</v>
      </c>
      <c r="B93" s="8" t="s">
        <v>215</v>
      </c>
      <c r="C93" s="6" t="s">
        <v>282</v>
      </c>
    </row>
    <row r="94" spans="1:3" x14ac:dyDescent="0.2">
      <c r="A94" s="6" t="s">
        <v>283</v>
      </c>
      <c r="B94" s="8" t="s">
        <v>41</v>
      </c>
      <c r="C94" s="6" t="s">
        <v>284</v>
      </c>
    </row>
    <row r="95" spans="1:3" x14ac:dyDescent="0.2">
      <c r="A95" s="6" t="s">
        <v>285</v>
      </c>
      <c r="B95" s="8" t="s">
        <v>232</v>
      </c>
      <c r="C95" s="6" t="s">
        <v>286</v>
      </c>
    </row>
    <row r="96" spans="1:3" x14ac:dyDescent="0.2">
      <c r="A96" s="6" t="s">
        <v>287</v>
      </c>
      <c r="B96" s="8" t="s">
        <v>215</v>
      </c>
      <c r="C96" s="6" t="s">
        <v>288</v>
      </c>
    </row>
    <row r="97" spans="1:3" x14ac:dyDescent="0.2">
      <c r="A97" s="6" t="s">
        <v>289</v>
      </c>
      <c r="B97" s="8" t="s">
        <v>290</v>
      </c>
      <c r="C97" s="6" t="s">
        <v>291</v>
      </c>
    </row>
    <row r="98" spans="1:3" x14ac:dyDescent="0.2">
      <c r="A98" s="6" t="s">
        <v>292</v>
      </c>
      <c r="B98" s="8" t="s">
        <v>293</v>
      </c>
      <c r="C98" s="6" t="s">
        <v>294</v>
      </c>
    </row>
    <row r="99" spans="1:3" x14ac:dyDescent="0.2">
      <c r="A99" s="6" t="s">
        <v>295</v>
      </c>
      <c r="B99" s="8" t="s">
        <v>41</v>
      </c>
      <c r="C99" s="6" t="s">
        <v>296</v>
      </c>
    </row>
    <row r="100" spans="1:3" x14ac:dyDescent="0.2">
      <c r="A100" s="6" t="s">
        <v>297</v>
      </c>
      <c r="B100" s="8" t="s">
        <v>41</v>
      </c>
      <c r="C100" s="6" t="s">
        <v>298</v>
      </c>
    </row>
    <row r="101" spans="1:3" x14ac:dyDescent="0.2">
      <c r="A101" s="6" t="s">
        <v>299</v>
      </c>
      <c r="B101" s="8" t="s">
        <v>293</v>
      </c>
      <c r="C101" s="6" t="s">
        <v>300</v>
      </c>
    </row>
    <row r="102" spans="1:3" x14ac:dyDescent="0.2">
      <c r="A102" s="6" t="s">
        <v>301</v>
      </c>
      <c r="B102" s="8" t="s">
        <v>41</v>
      </c>
      <c r="C102" s="6" t="s">
        <v>302</v>
      </c>
    </row>
    <row r="103" spans="1:3" x14ac:dyDescent="0.2">
      <c r="A103" s="6" t="s">
        <v>303</v>
      </c>
      <c r="B103" s="8" t="s">
        <v>136</v>
      </c>
      <c r="C103" s="6" t="s">
        <v>304</v>
      </c>
    </row>
    <row r="104" spans="1:3" x14ac:dyDescent="0.2">
      <c r="A104" s="6" t="s">
        <v>554</v>
      </c>
      <c r="B104" s="8" t="s">
        <v>41</v>
      </c>
      <c r="C104" s="6" t="s">
        <v>528</v>
      </c>
    </row>
    <row r="105" spans="1:3" x14ac:dyDescent="0.2">
      <c r="A105" s="6" t="s">
        <v>555</v>
      </c>
      <c r="B105" s="8" t="s">
        <v>556</v>
      </c>
      <c r="C105" s="6" t="s">
        <v>557</v>
      </c>
    </row>
    <row r="106" spans="1:3" x14ac:dyDescent="0.2">
      <c r="A106" s="6" t="s">
        <v>305</v>
      </c>
      <c r="B106" s="8" t="s">
        <v>41</v>
      </c>
      <c r="C106" s="6" t="s">
        <v>306</v>
      </c>
    </row>
    <row r="107" spans="1:3" x14ac:dyDescent="0.2">
      <c r="A107" s="6" t="s">
        <v>307</v>
      </c>
      <c r="B107" s="8" t="s">
        <v>41</v>
      </c>
      <c r="C107" s="6" t="s">
        <v>308</v>
      </c>
    </row>
    <row r="108" spans="1:3" x14ac:dyDescent="0.2">
      <c r="A108" s="6" t="s">
        <v>558</v>
      </c>
      <c r="B108" s="8" t="s">
        <v>41</v>
      </c>
      <c r="C108" s="6" t="s">
        <v>559</v>
      </c>
    </row>
    <row r="109" spans="1:3" x14ac:dyDescent="0.2">
      <c r="A109" s="6" t="s">
        <v>309</v>
      </c>
      <c r="B109" s="8" t="s">
        <v>215</v>
      </c>
      <c r="C109" s="6" t="s">
        <v>310</v>
      </c>
    </row>
    <row r="110" spans="1:3" x14ac:dyDescent="0.2">
      <c r="A110" s="6" t="s">
        <v>311</v>
      </c>
      <c r="B110" s="8" t="s">
        <v>150</v>
      </c>
      <c r="C110" s="6" t="s">
        <v>312</v>
      </c>
    </row>
    <row r="111" spans="1:3" x14ac:dyDescent="0.2">
      <c r="A111" s="6" t="s">
        <v>313</v>
      </c>
      <c r="B111" s="8" t="s">
        <v>232</v>
      </c>
      <c r="C111" s="6" t="s">
        <v>314</v>
      </c>
    </row>
    <row r="112" spans="1:3" x14ac:dyDescent="0.2">
      <c r="A112" s="6" t="s">
        <v>315</v>
      </c>
      <c r="B112" s="8" t="s">
        <v>136</v>
      </c>
      <c r="C112" s="6" t="s">
        <v>316</v>
      </c>
    </row>
    <row r="113" spans="1:3" x14ac:dyDescent="0.2">
      <c r="A113" s="6" t="s">
        <v>317</v>
      </c>
      <c r="B113" s="8" t="s">
        <v>256</v>
      </c>
      <c r="C113" s="6" t="s">
        <v>318</v>
      </c>
    </row>
    <row r="114" spans="1:3" x14ac:dyDescent="0.2">
      <c r="A114" s="6" t="s">
        <v>319</v>
      </c>
      <c r="B114" s="8" t="s">
        <v>320</v>
      </c>
      <c r="C114" s="6" t="s">
        <v>321</v>
      </c>
    </row>
    <row r="115" spans="1:3" x14ac:dyDescent="0.2">
      <c r="A115" s="6" t="s">
        <v>322</v>
      </c>
      <c r="B115" s="8" t="s">
        <v>256</v>
      </c>
      <c r="C115" s="6" t="s">
        <v>323</v>
      </c>
    </row>
    <row r="116" spans="1:3" x14ac:dyDescent="0.2">
      <c r="A116" s="6" t="s">
        <v>615</v>
      </c>
      <c r="B116" s="8" t="s">
        <v>320</v>
      </c>
      <c r="C116" s="6" t="s">
        <v>616</v>
      </c>
    </row>
    <row r="117" spans="1:3" x14ac:dyDescent="0.2">
      <c r="A117" s="6" t="s">
        <v>324</v>
      </c>
      <c r="B117" s="8" t="s">
        <v>256</v>
      </c>
    </row>
    <row r="118" spans="1:3" x14ac:dyDescent="0.2">
      <c r="A118" s="6" t="s">
        <v>326</v>
      </c>
      <c r="B118" s="8" t="s">
        <v>150</v>
      </c>
      <c r="C118" s="6" t="s">
        <v>325</v>
      </c>
    </row>
    <row r="119" spans="1:3" x14ac:dyDescent="0.2">
      <c r="A119" s="6" t="s">
        <v>103</v>
      </c>
      <c r="B119" s="8" t="s">
        <v>150</v>
      </c>
      <c r="C119" s="6" t="s">
        <v>327</v>
      </c>
    </row>
    <row r="120" spans="1:3" x14ac:dyDescent="0.2">
      <c r="A120" s="6" t="s">
        <v>328</v>
      </c>
      <c r="B120" s="8" t="s">
        <v>54</v>
      </c>
      <c r="C120" s="6" t="s">
        <v>329</v>
      </c>
    </row>
    <row r="121" spans="1:3" x14ac:dyDescent="0.2">
      <c r="A121" s="6" t="s">
        <v>330</v>
      </c>
      <c r="B121" s="8" t="s">
        <v>41</v>
      </c>
      <c r="C121" s="6" t="s">
        <v>331</v>
      </c>
    </row>
    <row r="122" spans="1:3" x14ac:dyDescent="0.2">
      <c r="A122" s="6" t="s">
        <v>332</v>
      </c>
      <c r="B122" s="8" t="s">
        <v>256</v>
      </c>
      <c r="C122" s="6" t="s">
        <v>333</v>
      </c>
    </row>
    <row r="123" spans="1:3" x14ac:dyDescent="0.2">
      <c r="A123" s="6" t="s">
        <v>334</v>
      </c>
      <c r="B123" s="8" t="s">
        <v>150</v>
      </c>
      <c r="C123" s="6" t="s">
        <v>335</v>
      </c>
    </row>
    <row r="124" spans="1:3" x14ac:dyDescent="0.2">
      <c r="A124" s="6" t="s">
        <v>336</v>
      </c>
      <c r="B124" s="8" t="s">
        <v>256</v>
      </c>
      <c r="C124" s="6" t="s">
        <v>337</v>
      </c>
    </row>
    <row r="125" spans="1:3" x14ac:dyDescent="0.2">
      <c r="A125" s="6" t="s">
        <v>338</v>
      </c>
      <c r="B125" s="8" t="s">
        <v>54</v>
      </c>
      <c r="C125" s="6" t="s">
        <v>339</v>
      </c>
    </row>
    <row r="126" spans="1:3" x14ac:dyDescent="0.2">
      <c r="A126" s="6" t="s">
        <v>340</v>
      </c>
      <c r="B126" s="8" t="s">
        <v>150</v>
      </c>
      <c r="C126" s="6" t="s">
        <v>341</v>
      </c>
    </row>
    <row r="127" spans="1:3" x14ac:dyDescent="0.2">
      <c r="A127" s="6" t="s">
        <v>342</v>
      </c>
      <c r="B127" s="8" t="s">
        <v>66</v>
      </c>
      <c r="C127" s="6" t="s">
        <v>343</v>
      </c>
    </row>
    <row r="128" spans="1:3" x14ac:dyDescent="0.2">
      <c r="A128" s="6" t="s">
        <v>344</v>
      </c>
      <c r="B128" s="8" t="s">
        <v>150</v>
      </c>
      <c r="C128" s="6" t="s">
        <v>345</v>
      </c>
    </row>
    <row r="129" spans="1:3" x14ac:dyDescent="0.2">
      <c r="A129" s="6" t="s">
        <v>346</v>
      </c>
      <c r="B129" s="8" t="s">
        <v>150</v>
      </c>
      <c r="C129" s="6" t="s">
        <v>347</v>
      </c>
    </row>
    <row r="130" spans="1:3" x14ac:dyDescent="0.2">
      <c r="A130" s="6" t="s">
        <v>348</v>
      </c>
      <c r="B130" s="8" t="s">
        <v>150</v>
      </c>
      <c r="C130" s="6" t="s">
        <v>349</v>
      </c>
    </row>
    <row r="131" spans="1:3" x14ac:dyDescent="0.2">
      <c r="A131" s="6" t="s">
        <v>350</v>
      </c>
      <c r="B131" s="8" t="s">
        <v>256</v>
      </c>
      <c r="C131" s="6" t="s">
        <v>351</v>
      </c>
    </row>
    <row r="132" spans="1:3" x14ac:dyDescent="0.2">
      <c r="A132" s="6" t="s">
        <v>352</v>
      </c>
      <c r="B132" s="8" t="s">
        <v>256</v>
      </c>
    </row>
    <row r="133" spans="1:3" x14ac:dyDescent="0.2">
      <c r="A133" s="6" t="s">
        <v>353</v>
      </c>
      <c r="B133" s="8" t="s">
        <v>354</v>
      </c>
      <c r="C133" s="6" t="s">
        <v>355</v>
      </c>
    </row>
    <row r="134" spans="1:3" x14ac:dyDescent="0.2">
      <c r="A134" s="6" t="s">
        <v>617</v>
      </c>
      <c r="B134" s="8" t="s">
        <v>256</v>
      </c>
      <c r="C134" s="6" t="s">
        <v>618</v>
      </c>
    </row>
    <row r="135" spans="1:3" x14ac:dyDescent="0.2">
      <c r="A135" s="6" t="s">
        <v>356</v>
      </c>
      <c r="B135" s="8" t="s">
        <v>41</v>
      </c>
      <c r="C135" s="6" t="s">
        <v>357</v>
      </c>
    </row>
    <row r="136" spans="1:3" x14ac:dyDescent="0.2">
      <c r="A136" s="6" t="s">
        <v>358</v>
      </c>
      <c r="B136" s="8" t="s">
        <v>206</v>
      </c>
      <c r="C136" s="6" t="s">
        <v>359</v>
      </c>
    </row>
    <row r="137" spans="1:3" x14ac:dyDescent="0.2">
      <c r="A137" s="6" t="s">
        <v>360</v>
      </c>
      <c r="B137" s="8" t="s">
        <v>361</v>
      </c>
      <c r="C137" s="6" t="s">
        <v>362</v>
      </c>
    </row>
    <row r="138" spans="1:3" x14ac:dyDescent="0.2">
      <c r="A138" s="6" t="s">
        <v>560</v>
      </c>
      <c r="B138" s="8" t="s">
        <v>41</v>
      </c>
      <c r="C138" s="6" t="s">
        <v>561</v>
      </c>
    </row>
    <row r="139" spans="1:3" x14ac:dyDescent="0.2">
      <c r="A139" s="6" t="s">
        <v>363</v>
      </c>
      <c r="B139" s="8" t="s">
        <v>364</v>
      </c>
      <c r="C139" s="6" t="s">
        <v>365</v>
      </c>
    </row>
    <row r="140" spans="1:3" x14ac:dyDescent="0.2">
      <c r="A140" s="6" t="s">
        <v>366</v>
      </c>
      <c r="B140" s="8" t="s">
        <v>364</v>
      </c>
      <c r="C140" s="6" t="s">
        <v>367</v>
      </c>
    </row>
    <row r="141" spans="1:3" x14ac:dyDescent="0.2">
      <c r="A141" s="6" t="s">
        <v>368</v>
      </c>
      <c r="B141" s="8" t="s">
        <v>41</v>
      </c>
      <c r="C141" s="6" t="s">
        <v>369</v>
      </c>
    </row>
    <row r="142" spans="1:3" x14ac:dyDescent="0.2">
      <c r="A142" s="6" t="s">
        <v>370</v>
      </c>
      <c r="B142" s="8" t="s">
        <v>41</v>
      </c>
      <c r="C142" s="6" t="s">
        <v>371</v>
      </c>
    </row>
    <row r="143" spans="1:3" x14ac:dyDescent="0.2">
      <c r="A143" s="6" t="s">
        <v>562</v>
      </c>
      <c r="B143" s="8" t="s">
        <v>543</v>
      </c>
      <c r="C143" s="6" t="s">
        <v>563</v>
      </c>
    </row>
    <row r="144" spans="1:3" x14ac:dyDescent="0.2">
      <c r="A144" s="6" t="s">
        <v>564</v>
      </c>
      <c r="B144" s="8" t="s">
        <v>41</v>
      </c>
      <c r="C144" s="6" t="s">
        <v>565</v>
      </c>
    </row>
    <row r="145" spans="1:3" x14ac:dyDescent="0.2">
      <c r="A145" s="6" t="s">
        <v>566</v>
      </c>
      <c r="B145" s="8" t="s">
        <v>41</v>
      </c>
      <c r="C145" s="6" t="s">
        <v>567</v>
      </c>
    </row>
    <row r="146" spans="1:3" x14ac:dyDescent="0.2">
      <c r="A146" s="6" t="s">
        <v>568</v>
      </c>
      <c r="B146" s="8" t="s">
        <v>41</v>
      </c>
      <c r="C146" s="6" t="s">
        <v>569</v>
      </c>
    </row>
    <row r="147" spans="1:3" x14ac:dyDescent="0.2">
      <c r="A147" s="6" t="s">
        <v>372</v>
      </c>
      <c r="B147" s="8" t="s">
        <v>41</v>
      </c>
      <c r="C147" s="6" t="s">
        <v>373</v>
      </c>
    </row>
    <row r="148" spans="1:3" x14ac:dyDescent="0.2">
      <c r="A148" s="6" t="s">
        <v>374</v>
      </c>
      <c r="B148" s="8" t="s">
        <v>19</v>
      </c>
      <c r="C148" s="6" t="s">
        <v>375</v>
      </c>
    </row>
    <row r="149" spans="1:3" x14ac:dyDescent="0.2">
      <c r="A149" s="6" t="s">
        <v>570</v>
      </c>
      <c r="B149" s="8" t="s">
        <v>41</v>
      </c>
      <c r="C149" s="6" t="s">
        <v>571</v>
      </c>
    </row>
    <row r="150" spans="1:3" x14ac:dyDescent="0.2">
      <c r="A150" s="6" t="s">
        <v>376</v>
      </c>
      <c r="B150" s="8" t="s">
        <v>41</v>
      </c>
      <c r="C150" s="6" t="s">
        <v>377</v>
      </c>
    </row>
    <row r="151" spans="1:3" x14ac:dyDescent="0.2">
      <c r="A151" s="6" t="s">
        <v>378</v>
      </c>
      <c r="B151" s="8" t="s">
        <v>290</v>
      </c>
      <c r="C151" s="6" t="s">
        <v>379</v>
      </c>
    </row>
    <row r="152" spans="1:3" x14ac:dyDescent="0.2">
      <c r="A152" s="6" t="s">
        <v>380</v>
      </c>
      <c r="B152" s="8" t="s">
        <v>215</v>
      </c>
      <c r="C152" s="6" t="s">
        <v>381</v>
      </c>
    </row>
    <row r="153" spans="1:3" x14ac:dyDescent="0.2">
      <c r="A153" s="6" t="s">
        <v>382</v>
      </c>
      <c r="B153" s="8" t="s">
        <v>215</v>
      </c>
      <c r="C153" s="6" t="s">
        <v>383</v>
      </c>
    </row>
    <row r="154" spans="1:3" x14ac:dyDescent="0.2">
      <c r="A154" s="6" t="s">
        <v>572</v>
      </c>
      <c r="B154" s="8" t="s">
        <v>556</v>
      </c>
      <c r="C154" s="6" t="s">
        <v>573</v>
      </c>
    </row>
    <row r="155" spans="1:3" x14ac:dyDescent="0.2">
      <c r="A155" s="6" t="s">
        <v>384</v>
      </c>
      <c r="B155" s="8" t="s">
        <v>41</v>
      </c>
      <c r="C155" s="6" t="s">
        <v>18</v>
      </c>
    </row>
    <row r="156" spans="1:3" x14ac:dyDescent="0.2">
      <c r="A156" s="6" t="s">
        <v>385</v>
      </c>
      <c r="B156" s="8" t="s">
        <v>145</v>
      </c>
      <c r="C156" s="6" t="s">
        <v>386</v>
      </c>
    </row>
    <row r="157" spans="1:3" x14ac:dyDescent="0.2">
      <c r="A157" s="6" t="s">
        <v>387</v>
      </c>
      <c r="B157" s="8" t="s">
        <v>206</v>
      </c>
      <c r="C157" s="6" t="s">
        <v>388</v>
      </c>
    </row>
    <row r="158" spans="1:3" x14ac:dyDescent="0.2">
      <c r="A158" s="6" t="s">
        <v>389</v>
      </c>
      <c r="B158" s="8" t="s">
        <v>173</v>
      </c>
      <c r="C158" s="6" t="s">
        <v>390</v>
      </c>
    </row>
    <row r="159" spans="1:3" x14ac:dyDescent="0.2">
      <c r="A159" s="6" t="s">
        <v>391</v>
      </c>
      <c r="B159" s="8" t="s">
        <v>392</v>
      </c>
      <c r="C159" s="6" t="s">
        <v>393</v>
      </c>
    </row>
    <row r="160" spans="1:3" x14ac:dyDescent="0.2">
      <c r="A160" s="6" t="s">
        <v>394</v>
      </c>
      <c r="B160" s="8" t="s">
        <v>150</v>
      </c>
      <c r="C160" s="6" t="s">
        <v>395</v>
      </c>
    </row>
    <row r="161" spans="1:3" x14ac:dyDescent="0.2">
      <c r="A161" s="6" t="s">
        <v>396</v>
      </c>
      <c r="B161" s="8" t="s">
        <v>150</v>
      </c>
      <c r="C161" s="6" t="s">
        <v>397</v>
      </c>
    </row>
    <row r="162" spans="1:3" x14ac:dyDescent="0.2">
      <c r="A162" s="6" t="s">
        <v>398</v>
      </c>
      <c r="B162" s="8" t="s">
        <v>150</v>
      </c>
      <c r="C162" s="6" t="s">
        <v>399</v>
      </c>
    </row>
    <row r="163" spans="1:3" x14ac:dyDescent="0.2">
      <c r="A163" s="6" t="s">
        <v>400</v>
      </c>
      <c r="B163" s="8" t="s">
        <v>320</v>
      </c>
      <c r="C163" s="6" t="s">
        <v>401</v>
      </c>
    </row>
    <row r="164" spans="1:3" x14ac:dyDescent="0.2">
      <c r="A164" s="6" t="s">
        <v>402</v>
      </c>
      <c r="B164" s="8" t="s">
        <v>320</v>
      </c>
      <c r="C164" s="6" t="s">
        <v>403</v>
      </c>
    </row>
    <row r="165" spans="1:3" x14ac:dyDescent="0.2">
      <c r="A165" s="6" t="s">
        <v>574</v>
      </c>
      <c r="B165" s="8" t="s">
        <v>575</v>
      </c>
      <c r="C165" s="6" t="s">
        <v>576</v>
      </c>
    </row>
    <row r="166" spans="1:3" x14ac:dyDescent="0.2">
      <c r="A166" s="6" t="s">
        <v>577</v>
      </c>
      <c r="B166" s="8" t="s">
        <v>575</v>
      </c>
      <c r="C166" s="6" t="s">
        <v>578</v>
      </c>
    </row>
    <row r="167" spans="1:3" x14ac:dyDescent="0.2">
      <c r="A167" s="6" t="s">
        <v>579</v>
      </c>
      <c r="B167" s="8" t="s">
        <v>41</v>
      </c>
      <c r="C167" s="6" t="s">
        <v>528</v>
      </c>
    </row>
    <row r="168" spans="1:3" x14ac:dyDescent="0.2">
      <c r="A168" s="6" t="s">
        <v>404</v>
      </c>
      <c r="B168" s="8" t="s">
        <v>54</v>
      </c>
      <c r="C168" s="6" t="s">
        <v>405</v>
      </c>
    </row>
    <row r="169" spans="1:3" x14ac:dyDescent="0.2">
      <c r="A169" s="6" t="s">
        <v>406</v>
      </c>
      <c r="B169" s="8" t="s">
        <v>215</v>
      </c>
      <c r="C169" s="6" t="s">
        <v>407</v>
      </c>
    </row>
    <row r="170" spans="1:3" x14ac:dyDescent="0.2">
      <c r="A170" s="6" t="s">
        <v>15</v>
      </c>
      <c r="B170" s="8" t="s">
        <v>408</v>
      </c>
      <c r="C170" s="6" t="s">
        <v>409</v>
      </c>
    </row>
    <row r="171" spans="1:3" x14ac:dyDescent="0.2">
      <c r="A171" s="6" t="s">
        <v>410</v>
      </c>
    </row>
    <row r="172" spans="1:3" x14ac:dyDescent="0.2">
      <c r="A172" s="6" t="s">
        <v>580</v>
      </c>
      <c r="B172" s="8" t="s">
        <v>41</v>
      </c>
      <c r="C172" s="6" t="s">
        <v>528</v>
      </c>
    </row>
    <row r="173" spans="1:3" x14ac:dyDescent="0.2">
      <c r="A173" s="6" t="s">
        <v>411</v>
      </c>
      <c r="B173" s="8" t="s">
        <v>412</v>
      </c>
      <c r="C173" s="6" t="s">
        <v>413</v>
      </c>
    </row>
    <row r="174" spans="1:3" x14ac:dyDescent="0.2">
      <c r="A174" s="6" t="s">
        <v>414</v>
      </c>
      <c r="B174" s="8" t="s">
        <v>412</v>
      </c>
      <c r="C174" s="6" t="s">
        <v>415</v>
      </c>
    </row>
    <row r="175" spans="1:3" x14ac:dyDescent="0.2">
      <c r="A175" s="6" t="s">
        <v>581</v>
      </c>
      <c r="B175" s="8" t="s">
        <v>21</v>
      </c>
      <c r="C175" s="6" t="s">
        <v>582</v>
      </c>
    </row>
    <row r="176" spans="1:3" x14ac:dyDescent="0.2">
      <c r="A176" s="6" t="s">
        <v>416</v>
      </c>
      <c r="B176" s="8" t="s">
        <v>412</v>
      </c>
      <c r="C176" s="6" t="s">
        <v>417</v>
      </c>
    </row>
    <row r="177" spans="1:3" x14ac:dyDescent="0.2">
      <c r="A177" s="6" t="s">
        <v>418</v>
      </c>
      <c r="B177" s="8" t="s">
        <v>412</v>
      </c>
      <c r="C177" s="6" t="s">
        <v>419</v>
      </c>
    </row>
    <row r="178" spans="1:3" x14ac:dyDescent="0.2">
      <c r="A178" s="6" t="s">
        <v>420</v>
      </c>
      <c r="B178" s="8" t="s">
        <v>412</v>
      </c>
      <c r="C178" s="6" t="s">
        <v>421</v>
      </c>
    </row>
    <row r="179" spans="1:3" x14ac:dyDescent="0.2">
      <c r="A179" s="6" t="s">
        <v>583</v>
      </c>
      <c r="B179" s="8" t="s">
        <v>21</v>
      </c>
      <c r="C179" s="6" t="s">
        <v>584</v>
      </c>
    </row>
    <row r="180" spans="1:3" x14ac:dyDescent="0.2">
      <c r="A180" s="6" t="s">
        <v>422</v>
      </c>
      <c r="B180" s="8" t="s">
        <v>412</v>
      </c>
      <c r="C180" s="6" t="s">
        <v>423</v>
      </c>
    </row>
    <row r="181" spans="1:3" x14ac:dyDescent="0.2">
      <c r="A181" s="6" t="s">
        <v>424</v>
      </c>
      <c r="B181" s="8" t="s">
        <v>108</v>
      </c>
      <c r="C181" s="6" t="s">
        <v>425</v>
      </c>
    </row>
    <row r="182" spans="1:3" x14ac:dyDescent="0.2">
      <c r="A182" s="6" t="s">
        <v>426</v>
      </c>
      <c r="B182" s="8" t="s">
        <v>41</v>
      </c>
      <c r="C182" s="6" t="s">
        <v>427</v>
      </c>
    </row>
    <row r="183" spans="1:3" x14ac:dyDescent="0.2">
      <c r="A183" s="6" t="s">
        <v>16</v>
      </c>
      <c r="B183" s="8" t="s">
        <v>21</v>
      </c>
      <c r="C183" s="6" t="s">
        <v>428</v>
      </c>
    </row>
    <row r="184" spans="1:3" x14ac:dyDescent="0.2">
      <c r="A184" s="6" t="s">
        <v>585</v>
      </c>
      <c r="B184" s="8" t="s">
        <v>21</v>
      </c>
      <c r="C184" s="6" t="s">
        <v>586</v>
      </c>
    </row>
    <row r="185" spans="1:3" x14ac:dyDescent="0.2">
      <c r="A185" s="6" t="s">
        <v>429</v>
      </c>
      <c r="B185" s="8" t="s">
        <v>21</v>
      </c>
      <c r="C185" s="6" t="s">
        <v>430</v>
      </c>
    </row>
    <row r="186" spans="1:3" x14ac:dyDescent="0.2">
      <c r="A186" s="6" t="s">
        <v>587</v>
      </c>
      <c r="B186" s="8" t="s">
        <v>21</v>
      </c>
      <c r="C186" s="6" t="s">
        <v>588</v>
      </c>
    </row>
    <row r="187" spans="1:3" x14ac:dyDescent="0.2">
      <c r="A187" s="6" t="s">
        <v>30</v>
      </c>
      <c r="B187" s="8" t="s">
        <v>21</v>
      </c>
      <c r="C187" s="6" t="s">
        <v>431</v>
      </c>
    </row>
    <row r="188" spans="1:3" x14ac:dyDescent="0.2">
      <c r="A188" s="6" t="s">
        <v>589</v>
      </c>
      <c r="B188" s="8" t="s">
        <v>21</v>
      </c>
      <c r="C188" s="6" t="s">
        <v>590</v>
      </c>
    </row>
    <row r="189" spans="1:3" x14ac:dyDescent="0.2">
      <c r="A189" s="6" t="s">
        <v>432</v>
      </c>
      <c r="B189" s="8" t="s">
        <v>21</v>
      </c>
      <c r="C189" s="6" t="s">
        <v>433</v>
      </c>
    </row>
    <row r="190" spans="1:3" x14ac:dyDescent="0.2">
      <c r="A190" s="6" t="s">
        <v>434</v>
      </c>
      <c r="B190" s="8" t="s">
        <v>21</v>
      </c>
      <c r="C190" s="6" t="s">
        <v>435</v>
      </c>
    </row>
    <row r="191" spans="1:3" x14ac:dyDescent="0.2">
      <c r="A191" s="6" t="s">
        <v>436</v>
      </c>
      <c r="B191" s="8" t="s">
        <v>21</v>
      </c>
      <c r="C191" s="6" t="s">
        <v>437</v>
      </c>
    </row>
    <row r="192" spans="1:3" x14ac:dyDescent="0.2">
      <c r="A192" s="6" t="s">
        <v>591</v>
      </c>
      <c r="B192" s="8" t="s">
        <v>21</v>
      </c>
      <c r="C192" s="6" t="s">
        <v>592</v>
      </c>
    </row>
    <row r="193" spans="1:3" x14ac:dyDescent="0.2">
      <c r="A193" s="6" t="s">
        <v>438</v>
      </c>
      <c r="B193" s="8" t="s">
        <v>21</v>
      </c>
      <c r="C193" s="6" t="s">
        <v>439</v>
      </c>
    </row>
    <row r="194" spans="1:3" x14ac:dyDescent="0.2">
      <c r="A194" s="6" t="s">
        <v>440</v>
      </c>
      <c r="B194" s="8" t="s">
        <v>21</v>
      </c>
      <c r="C194" s="6" t="s">
        <v>441</v>
      </c>
    </row>
    <row r="195" spans="1:3" x14ac:dyDescent="0.2">
      <c r="A195" s="6" t="s">
        <v>593</v>
      </c>
      <c r="B195" s="8" t="s">
        <v>21</v>
      </c>
      <c r="C195" s="6" t="s">
        <v>594</v>
      </c>
    </row>
    <row r="196" spans="1:3" x14ac:dyDescent="0.2">
      <c r="A196" s="6" t="s">
        <v>442</v>
      </c>
      <c r="B196" s="8" t="s">
        <v>19</v>
      </c>
      <c r="C196" s="6" t="s">
        <v>443</v>
      </c>
    </row>
    <row r="197" spans="1:3" x14ac:dyDescent="0.2">
      <c r="A197" s="6" t="s">
        <v>444</v>
      </c>
      <c r="B197" s="8" t="s">
        <v>19</v>
      </c>
      <c r="C197" s="6" t="s">
        <v>445</v>
      </c>
    </row>
    <row r="198" spans="1:3" x14ac:dyDescent="0.2">
      <c r="A198" s="6" t="s">
        <v>446</v>
      </c>
      <c r="B198" s="8" t="s">
        <v>173</v>
      </c>
      <c r="C198" s="6" t="s">
        <v>447</v>
      </c>
    </row>
    <row r="199" spans="1:3" x14ac:dyDescent="0.2">
      <c r="A199" s="6" t="s">
        <v>448</v>
      </c>
      <c r="B199" s="8" t="s">
        <v>54</v>
      </c>
      <c r="C199" s="6" t="s">
        <v>449</v>
      </c>
    </row>
    <row r="200" spans="1:3" x14ac:dyDescent="0.2">
      <c r="A200" s="6" t="s">
        <v>619</v>
      </c>
      <c r="B200" s="8" t="s">
        <v>21</v>
      </c>
      <c r="C200" s="6" t="s">
        <v>620</v>
      </c>
    </row>
    <row r="201" spans="1:3" x14ac:dyDescent="0.2">
      <c r="A201" s="6" t="s">
        <v>621</v>
      </c>
      <c r="B201" s="8" t="s">
        <v>21</v>
      </c>
      <c r="C201" s="6" t="s">
        <v>622</v>
      </c>
    </row>
    <row r="202" spans="1:3" x14ac:dyDescent="0.2">
      <c r="A202" s="6" t="s">
        <v>623</v>
      </c>
      <c r="B202" s="8" t="s">
        <v>21</v>
      </c>
      <c r="C202" s="6" t="s">
        <v>624</v>
      </c>
    </row>
    <row r="203" spans="1:3" x14ac:dyDescent="0.2">
      <c r="A203" s="6" t="s">
        <v>625</v>
      </c>
      <c r="B203" s="8" t="s">
        <v>21</v>
      </c>
      <c r="C203" s="6" t="s">
        <v>626</v>
      </c>
    </row>
    <row r="204" spans="1:3" x14ac:dyDescent="0.2">
      <c r="A204" s="6" t="s">
        <v>627</v>
      </c>
      <c r="B204" s="8" t="s">
        <v>21</v>
      </c>
      <c r="C204" s="6" t="s">
        <v>628</v>
      </c>
    </row>
    <row r="205" spans="1:3" x14ac:dyDescent="0.2">
      <c r="A205" s="6" t="s">
        <v>629</v>
      </c>
      <c r="B205" s="8" t="s">
        <v>21</v>
      </c>
      <c r="C205" s="6" t="s">
        <v>630</v>
      </c>
    </row>
    <row r="206" spans="1:3" x14ac:dyDescent="0.2">
      <c r="A206" s="6" t="s">
        <v>631</v>
      </c>
      <c r="B206" s="8" t="s">
        <v>21</v>
      </c>
      <c r="C206" s="6" t="s">
        <v>632</v>
      </c>
    </row>
    <row r="207" spans="1:3" x14ac:dyDescent="0.2">
      <c r="A207" s="6" t="s">
        <v>450</v>
      </c>
      <c r="B207" s="8" t="s">
        <v>21</v>
      </c>
      <c r="C207" s="6" t="s">
        <v>628</v>
      </c>
    </row>
    <row r="208" spans="1:3" x14ac:dyDescent="0.2">
      <c r="A208" s="6" t="s">
        <v>451</v>
      </c>
      <c r="B208" s="8" t="s">
        <v>19</v>
      </c>
      <c r="C208" s="6" t="s">
        <v>452</v>
      </c>
    </row>
    <row r="209" spans="1:3" x14ac:dyDescent="0.2">
      <c r="A209" s="6" t="s">
        <v>453</v>
      </c>
      <c r="B209" s="8" t="s">
        <v>19</v>
      </c>
      <c r="C209" s="6" t="s">
        <v>454</v>
      </c>
    </row>
    <row r="210" spans="1:3" x14ac:dyDescent="0.2">
      <c r="A210" s="6" t="s">
        <v>633</v>
      </c>
      <c r="B210" s="8" t="s">
        <v>21</v>
      </c>
      <c r="C210" s="6" t="s">
        <v>634</v>
      </c>
    </row>
    <row r="211" spans="1:3" x14ac:dyDescent="0.2">
      <c r="A211" s="6" t="s">
        <v>635</v>
      </c>
      <c r="B211" s="8" t="s">
        <v>21</v>
      </c>
      <c r="C211" s="6" t="s">
        <v>636</v>
      </c>
    </row>
    <row r="212" spans="1:3" x14ac:dyDescent="0.2">
      <c r="A212" s="6" t="s">
        <v>637</v>
      </c>
      <c r="B212" s="8" t="s">
        <v>21</v>
      </c>
      <c r="C212" s="6" t="s">
        <v>638</v>
      </c>
    </row>
    <row r="213" spans="1:3" x14ac:dyDescent="0.2">
      <c r="A213" s="6" t="s">
        <v>639</v>
      </c>
      <c r="B213" s="8" t="s">
        <v>21</v>
      </c>
      <c r="C213" s="6" t="s">
        <v>640</v>
      </c>
    </row>
    <row r="214" spans="1:3" x14ac:dyDescent="0.2">
      <c r="A214" s="6" t="s">
        <v>641</v>
      </c>
      <c r="B214" s="8" t="s">
        <v>21</v>
      </c>
      <c r="C214" s="6" t="s">
        <v>642</v>
      </c>
    </row>
    <row r="215" spans="1:3" x14ac:dyDescent="0.2">
      <c r="A215" s="6" t="s">
        <v>595</v>
      </c>
      <c r="B215" s="8" t="s">
        <v>190</v>
      </c>
      <c r="C215" s="6" t="s">
        <v>596</v>
      </c>
    </row>
    <row r="216" spans="1:3" x14ac:dyDescent="0.2">
      <c r="A216" s="6" t="s">
        <v>597</v>
      </c>
      <c r="B216" s="8" t="s">
        <v>598</v>
      </c>
      <c r="C216" s="6" t="s">
        <v>599</v>
      </c>
    </row>
    <row r="217" spans="1:3" x14ac:dyDescent="0.2">
      <c r="A217" s="6" t="s">
        <v>600</v>
      </c>
      <c r="B217" s="8" t="s">
        <v>41</v>
      </c>
      <c r="C217" s="6" t="s">
        <v>601</v>
      </c>
    </row>
    <row r="218" spans="1:3" x14ac:dyDescent="0.2">
      <c r="A218" s="6" t="s">
        <v>455</v>
      </c>
      <c r="B218" s="8" t="s">
        <v>224</v>
      </c>
    </row>
    <row r="219" spans="1:3" x14ac:dyDescent="0.2">
      <c r="A219" s="6" t="s">
        <v>456</v>
      </c>
      <c r="C219" s="6" t="s">
        <v>457</v>
      </c>
    </row>
    <row r="220" spans="1:3" x14ac:dyDescent="0.2">
      <c r="A220" s="6" t="s">
        <v>458</v>
      </c>
      <c r="B220" s="8" t="s">
        <v>459</v>
      </c>
      <c r="C220" s="6" t="s">
        <v>460</v>
      </c>
    </row>
    <row r="221" spans="1:3" x14ac:dyDescent="0.2">
      <c r="A221" s="6" t="s">
        <v>461</v>
      </c>
      <c r="B221" s="8" t="s">
        <v>41</v>
      </c>
      <c r="C221" s="6" t="s">
        <v>462</v>
      </c>
    </row>
    <row r="222" spans="1:3" x14ac:dyDescent="0.2">
      <c r="A222" s="6" t="s">
        <v>463</v>
      </c>
      <c r="B222" s="8" t="s">
        <v>459</v>
      </c>
      <c r="C222" s="6" t="s">
        <v>464</v>
      </c>
    </row>
    <row r="223" spans="1:3" x14ac:dyDescent="0.2">
      <c r="A223" s="6" t="s">
        <v>465</v>
      </c>
      <c r="B223" s="8" t="s">
        <v>459</v>
      </c>
      <c r="C223" s="6" t="s">
        <v>466</v>
      </c>
    </row>
    <row r="224" spans="1:3" x14ac:dyDescent="0.2">
      <c r="A224" s="6" t="s">
        <v>602</v>
      </c>
      <c r="B224" s="8" t="s">
        <v>41</v>
      </c>
      <c r="C224" s="6" t="s">
        <v>603</v>
      </c>
    </row>
    <row r="225" spans="1:3" x14ac:dyDescent="0.2">
      <c r="A225" s="6" t="s">
        <v>604</v>
      </c>
      <c r="B225" s="8" t="s">
        <v>41</v>
      </c>
      <c r="C225" s="6" t="s">
        <v>605</v>
      </c>
    </row>
    <row r="226" spans="1:3" x14ac:dyDescent="0.2">
      <c r="A226" s="6" t="s">
        <v>467</v>
      </c>
      <c r="B226" s="8" t="s">
        <v>19</v>
      </c>
      <c r="C226" s="6" t="s">
        <v>468</v>
      </c>
    </row>
    <row r="227" spans="1:3" x14ac:dyDescent="0.2">
      <c r="A227" s="6" t="s">
        <v>469</v>
      </c>
      <c r="B227" s="8" t="s">
        <v>41</v>
      </c>
      <c r="C227" s="6" t="s">
        <v>470</v>
      </c>
    </row>
    <row r="228" spans="1:3" x14ac:dyDescent="0.2">
      <c r="A228" s="6" t="s">
        <v>471</v>
      </c>
      <c r="B228" s="8" t="s">
        <v>19</v>
      </c>
      <c r="C228" s="6" t="s">
        <v>472</v>
      </c>
    </row>
    <row r="229" spans="1:3" x14ac:dyDescent="0.2">
      <c r="A229" s="6" t="s">
        <v>473</v>
      </c>
      <c r="B229" s="8" t="s">
        <v>54</v>
      </c>
      <c r="C229" s="6" t="s">
        <v>474</v>
      </c>
    </row>
    <row r="230" spans="1:3" x14ac:dyDescent="0.2">
      <c r="A230" s="6" t="s">
        <v>475</v>
      </c>
      <c r="B230" s="8" t="s">
        <v>54</v>
      </c>
      <c r="C230" s="6" t="s">
        <v>476</v>
      </c>
    </row>
    <row r="231" spans="1:3" x14ac:dyDescent="0.2">
      <c r="A231" s="6" t="s">
        <v>477</v>
      </c>
      <c r="B231" s="8" t="s">
        <v>19</v>
      </c>
      <c r="C231" s="6" t="s">
        <v>478</v>
      </c>
    </row>
    <row r="232" spans="1:3" x14ac:dyDescent="0.2">
      <c r="A232" s="6" t="s">
        <v>479</v>
      </c>
      <c r="B232" s="8" t="s">
        <v>19</v>
      </c>
      <c r="C232" s="6" t="s">
        <v>480</v>
      </c>
    </row>
    <row r="233" spans="1:3" x14ac:dyDescent="0.2">
      <c r="A233" s="6" t="s">
        <v>481</v>
      </c>
      <c r="B233" s="8" t="s">
        <v>41</v>
      </c>
      <c r="C233" s="6" t="s">
        <v>482</v>
      </c>
    </row>
    <row r="234" spans="1:3" x14ac:dyDescent="0.2">
      <c r="A234" s="6" t="s">
        <v>483</v>
      </c>
      <c r="B234" s="8" t="s">
        <v>41</v>
      </c>
      <c r="C234" s="6" t="s">
        <v>484</v>
      </c>
    </row>
    <row r="235" spans="1:3" x14ac:dyDescent="0.2">
      <c r="A235" s="6" t="s">
        <v>485</v>
      </c>
      <c r="B235" s="8" t="s">
        <v>41</v>
      </c>
      <c r="C235" s="6" t="s">
        <v>486</v>
      </c>
    </row>
    <row r="236" spans="1:3" x14ac:dyDescent="0.2">
      <c r="A236" s="6" t="s">
        <v>487</v>
      </c>
      <c r="B236" s="8" t="s">
        <v>41</v>
      </c>
      <c r="C236" s="6" t="s">
        <v>488</v>
      </c>
    </row>
    <row r="237" spans="1:3" x14ac:dyDescent="0.2">
      <c r="A237" s="6" t="s">
        <v>489</v>
      </c>
      <c r="B237" s="8" t="s">
        <v>41</v>
      </c>
      <c r="C237" s="6" t="s">
        <v>490</v>
      </c>
    </row>
    <row r="238" spans="1:3" x14ac:dyDescent="0.2">
      <c r="A238" s="6" t="s">
        <v>491</v>
      </c>
      <c r="B238" s="8" t="s">
        <v>41</v>
      </c>
      <c r="C238" s="6" t="s">
        <v>492</v>
      </c>
    </row>
    <row r="239" spans="1:3" x14ac:dyDescent="0.2">
      <c r="A239" s="6" t="s">
        <v>493</v>
      </c>
      <c r="B239" s="8" t="s">
        <v>41</v>
      </c>
      <c r="C239" s="6" t="s">
        <v>494</v>
      </c>
    </row>
    <row r="240" spans="1:3" x14ac:dyDescent="0.2">
      <c r="A240" s="6" t="s">
        <v>495</v>
      </c>
      <c r="B240" s="8" t="s">
        <v>54</v>
      </c>
      <c r="C240" s="6" t="s">
        <v>496</v>
      </c>
    </row>
    <row r="241" spans="1:3" x14ac:dyDescent="0.2">
      <c r="A241" s="6" t="s">
        <v>497</v>
      </c>
      <c r="B241" s="8" t="s">
        <v>215</v>
      </c>
      <c r="C241" s="6" t="s">
        <v>498</v>
      </c>
    </row>
    <row r="242" spans="1:3" x14ac:dyDescent="0.2">
      <c r="A242" s="6" t="s">
        <v>499</v>
      </c>
      <c r="B242" s="8" t="s">
        <v>54</v>
      </c>
      <c r="C242" s="6" t="s">
        <v>500</v>
      </c>
    </row>
    <row r="243" spans="1:3" x14ac:dyDescent="0.2">
      <c r="A243" s="6" t="s">
        <v>501</v>
      </c>
      <c r="B243" s="8" t="s">
        <v>54</v>
      </c>
      <c r="C243" s="6" t="s">
        <v>502</v>
      </c>
    </row>
    <row r="244" spans="1:3" x14ac:dyDescent="0.2">
      <c r="A244" s="6" t="s">
        <v>503</v>
      </c>
      <c r="B244" s="8" t="s">
        <v>54</v>
      </c>
      <c r="C244" s="6" t="s">
        <v>504</v>
      </c>
    </row>
    <row r="245" spans="1:3" x14ac:dyDescent="0.2">
      <c r="A245" s="6" t="s">
        <v>505</v>
      </c>
      <c r="B245" s="8" t="s">
        <v>320</v>
      </c>
      <c r="C245" s="6" t="s">
        <v>506</v>
      </c>
    </row>
    <row r="246" spans="1:3" x14ac:dyDescent="0.2">
      <c r="A246" s="6" t="s">
        <v>507</v>
      </c>
      <c r="B246" s="8" t="s">
        <v>256</v>
      </c>
      <c r="C246" s="6" t="s">
        <v>508</v>
      </c>
    </row>
    <row r="247" spans="1:3" x14ac:dyDescent="0.2">
      <c r="A247" s="6" t="s">
        <v>509</v>
      </c>
      <c r="B247" s="8" t="s">
        <v>256</v>
      </c>
      <c r="C247" s="6" t="s">
        <v>510</v>
      </c>
    </row>
    <row r="248" spans="1:3" x14ac:dyDescent="0.2">
      <c r="A248" s="6" t="s">
        <v>511</v>
      </c>
      <c r="B248" s="8" t="s">
        <v>41</v>
      </c>
      <c r="C248" s="6" t="s">
        <v>512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Run</vt:lpstr>
      <vt:lpstr>DailyO</vt:lpstr>
      <vt:lpstr>Figures</vt:lpstr>
      <vt:lpstr>YearlyO</vt:lpstr>
      <vt:lpstr>Location</vt:lpstr>
      <vt:lpstr>Manag</vt:lpstr>
      <vt:lpstr>Soil</vt:lpstr>
      <vt:lpstr>Crop</vt:lpstr>
      <vt:lpstr>DOY</vt:lpstr>
      <vt:lpstr>Help</vt:lpstr>
    </vt:vector>
  </TitlesOfParts>
  <Company>soltani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afshin</dc:creator>
  <cp:lastModifiedBy>Anh Quan Duong</cp:lastModifiedBy>
  <dcterms:created xsi:type="dcterms:W3CDTF">2009-02-20T09:44:29Z</dcterms:created>
  <dcterms:modified xsi:type="dcterms:W3CDTF">2026-05-23T16:28:08Z</dcterms:modified>
</cp:coreProperties>
</file>